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2"/>
    </font>
    <font>
      <b val="1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'Dashboard'!$D$13:$D$16</f>
            </numRef>
          </cat>
          <val>
            <numRef>
              <f>'Dashboard'!$E$13:$E$16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N301" headerRowCount="1">
  <autoFilter ref="A1:N301"/>
  <tableColumns count="14">
    <tableColumn id="1" name="Order_ID"/>
    <tableColumn id="2" name="Order_Date"/>
    <tableColumn id="3" name="Region"/>
    <tableColumn id="4" name="Sales_Channel"/>
    <tableColumn id="5" name="Product"/>
    <tableColumn id="6" name="Category"/>
    <tableColumn id="7" name="Quantity"/>
    <tableColumn id="8" name="Unit_Price"/>
    <tableColumn id="9" name="Discount_Rate"/>
    <tableColumn id="10" name="Unit_Cost"/>
    <tableColumn id="11" name="Revenue"/>
    <tableColumn id="12" name="Total_Cost"/>
    <tableColumn id="13" name="Profit"/>
    <tableColumn id="14" name="Profit_Marg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20" customWidth="1" min="5" max="5"/>
    <col width="16" customWidth="1" min="6" max="6"/>
    <col width="10" customWidth="1" min="7" max="7"/>
    <col width="13" customWidth="1" min="8" max="8"/>
    <col width="14" customWidth="1" min="9" max="9"/>
    <col width="12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Sales_Channel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Discount_Rate</t>
        </is>
      </c>
      <c r="J1" s="1" t="inlineStr">
        <is>
          <t>Unit_Cost</t>
        </is>
      </c>
      <c r="K1" s="1" t="inlineStr">
        <is>
          <t>Revenue</t>
        </is>
      </c>
      <c r="L1" s="1" t="inlineStr">
        <is>
          <t>Total_Cost</t>
        </is>
      </c>
      <c r="M1" s="1" t="inlineStr">
        <is>
          <t>Profit</t>
        </is>
      </c>
      <c r="N1" s="1" t="inlineStr">
        <is>
          <t>Profit_Margin</t>
        </is>
      </c>
    </row>
    <row r="2">
      <c r="A2" t="inlineStr">
        <is>
          <t>ORD-0001</t>
        </is>
      </c>
      <c r="B2" s="2" t="n">
        <v>45670</v>
      </c>
      <c r="C2" t="inlineStr">
        <is>
          <t>South</t>
        </is>
      </c>
      <c r="D2" t="inlineStr">
        <is>
          <t>Online</t>
        </is>
      </c>
      <c r="E2" t="inlineStr">
        <is>
          <t>Wireless Mouse</t>
        </is>
      </c>
      <c r="F2" t="inlineStr">
        <is>
          <t>Accessories</t>
        </is>
      </c>
      <c r="G2" t="n">
        <v>5</v>
      </c>
      <c r="H2" s="3" t="n">
        <v>25</v>
      </c>
      <c r="I2" s="4" t="n">
        <v>0</v>
      </c>
      <c r="J2" s="3" t="n">
        <v>14</v>
      </c>
      <c r="K2" s="3">
        <f>G2*H2</f>
        <v/>
      </c>
      <c r="L2" s="3">
        <f>G2*J2</f>
        <v/>
      </c>
      <c r="M2" s="3">
        <f>K2-L2</f>
        <v/>
      </c>
      <c r="N2" s="5">
        <f>IFERROR(M2/K2,0)</f>
        <v/>
      </c>
    </row>
    <row r="3">
      <c r="A3" t="inlineStr">
        <is>
          <t>ORD-0002</t>
        </is>
      </c>
      <c r="B3" s="2" t="n">
        <v>46004</v>
      </c>
      <c r="C3" t="inlineStr">
        <is>
          <t>West</t>
        </is>
      </c>
      <c r="D3" t="inlineStr">
        <is>
          <t>Online</t>
        </is>
      </c>
      <c r="E3" t="inlineStr">
        <is>
          <t>Wireless Mouse</t>
        </is>
      </c>
      <c r="F3" t="inlineStr">
        <is>
          <t>Accessories</t>
        </is>
      </c>
      <c r="G3" t="n">
        <v>2</v>
      </c>
      <c r="H3" s="3" t="n">
        <v>21.25</v>
      </c>
      <c r="I3" s="4" t="n">
        <v>0.15</v>
      </c>
      <c r="J3" s="3" t="n">
        <v>14</v>
      </c>
      <c r="K3" s="3">
        <f>G3*H3</f>
        <v/>
      </c>
      <c r="L3" s="3">
        <f>G3*J3</f>
        <v/>
      </c>
      <c r="M3" s="3">
        <f>K3-L3</f>
        <v/>
      </c>
      <c r="N3" s="5">
        <f>IFERROR(M3/K3,0)</f>
        <v/>
      </c>
    </row>
    <row r="4">
      <c r="A4" t="inlineStr">
        <is>
          <t>ORD-0003</t>
        </is>
      </c>
      <c r="B4" s="2" t="n">
        <v>45705</v>
      </c>
      <c r="C4" t="inlineStr">
        <is>
          <t>North</t>
        </is>
      </c>
      <c r="D4" t="inlineStr">
        <is>
          <t>Corporate</t>
        </is>
      </c>
      <c r="E4" t="inlineStr">
        <is>
          <t>Laptop Stand</t>
        </is>
      </c>
      <c r="F4" t="inlineStr">
        <is>
          <t>Accessories</t>
        </is>
      </c>
      <c r="G4" t="n">
        <v>4</v>
      </c>
      <c r="H4" s="3" t="n">
        <v>55</v>
      </c>
      <c r="I4" s="4" t="n">
        <v>0</v>
      </c>
      <c r="J4" s="3" t="n">
        <v>32</v>
      </c>
      <c r="K4" s="3">
        <f>G4*H4</f>
        <v/>
      </c>
      <c r="L4" s="3">
        <f>G4*J4</f>
        <v/>
      </c>
      <c r="M4" s="3">
        <f>K4-L4</f>
        <v/>
      </c>
      <c r="N4" s="5">
        <f>IFERROR(M4/K4,0)</f>
        <v/>
      </c>
    </row>
    <row r="5">
      <c r="A5" t="inlineStr">
        <is>
          <t>ORD-0004</t>
        </is>
      </c>
      <c r="B5" s="2" t="n">
        <v>45990</v>
      </c>
      <c r="C5" t="inlineStr">
        <is>
          <t>West</t>
        </is>
      </c>
      <c r="D5" t="inlineStr">
        <is>
          <t>Corporate</t>
        </is>
      </c>
      <c r="E5" t="inlineStr">
        <is>
          <t>Monitor</t>
        </is>
      </c>
      <c r="F5" t="inlineStr">
        <is>
          <t>Electronics</t>
        </is>
      </c>
      <c r="G5" t="n">
        <v>7</v>
      </c>
      <c r="H5" s="3" t="n">
        <v>220</v>
      </c>
      <c r="I5" s="4" t="n">
        <v>0</v>
      </c>
      <c r="J5" s="3" t="n">
        <v>145</v>
      </c>
      <c r="K5" s="3">
        <f>G5*H5</f>
        <v/>
      </c>
      <c r="L5" s="3">
        <f>G5*J5</f>
        <v/>
      </c>
      <c r="M5" s="3">
        <f>K5-L5</f>
        <v/>
      </c>
      <c r="N5" s="5">
        <f>IFERROR(M5/K5,0)</f>
        <v/>
      </c>
    </row>
    <row r="6">
      <c r="A6" t="inlineStr">
        <is>
          <t>ORD-0005</t>
        </is>
      </c>
      <c r="B6" s="2" t="n">
        <v>45661</v>
      </c>
      <c r="C6" t="inlineStr">
        <is>
          <t>East</t>
        </is>
      </c>
      <c r="D6" t="inlineStr">
        <is>
          <t>Retail</t>
        </is>
      </c>
      <c r="E6" t="inlineStr">
        <is>
          <t>USB-C Hub</t>
        </is>
      </c>
      <c r="F6" t="inlineStr">
        <is>
          <t>Electronics</t>
        </is>
      </c>
      <c r="G6" t="n">
        <v>3</v>
      </c>
      <c r="H6" s="3" t="n">
        <v>44.1</v>
      </c>
      <c r="I6" s="4" t="n">
        <v>0.1</v>
      </c>
      <c r="J6" s="3" t="n">
        <v>28</v>
      </c>
      <c r="K6" s="3">
        <f>G6*H6</f>
        <v/>
      </c>
      <c r="L6" s="3">
        <f>G6*J6</f>
        <v/>
      </c>
      <c r="M6" s="3">
        <f>K6-L6</f>
        <v/>
      </c>
      <c r="N6" s="5">
        <f>IFERROR(M6/K6,0)</f>
        <v/>
      </c>
    </row>
    <row r="7">
      <c r="A7" t="inlineStr">
        <is>
          <t>ORD-0006</t>
        </is>
      </c>
      <c r="B7" s="2" t="n">
        <v>45768</v>
      </c>
      <c r="C7" t="inlineStr">
        <is>
          <t>North</t>
        </is>
      </c>
      <c r="D7" t="inlineStr">
        <is>
          <t>Retail</t>
        </is>
      </c>
      <c r="E7" t="inlineStr">
        <is>
          <t>Keyboard</t>
        </is>
      </c>
      <c r="F7" t="inlineStr">
        <is>
          <t>Accessories</t>
        </is>
      </c>
      <c r="G7" t="n">
        <v>6</v>
      </c>
      <c r="H7" s="3" t="n">
        <v>39</v>
      </c>
      <c r="I7" s="4" t="n">
        <v>0</v>
      </c>
      <c r="J7" s="3" t="n">
        <v>22</v>
      </c>
      <c r="K7" s="3">
        <f>G7*H7</f>
        <v/>
      </c>
      <c r="L7" s="3">
        <f>G7*J7</f>
        <v/>
      </c>
      <c r="M7" s="3">
        <f>K7-L7</f>
        <v/>
      </c>
      <c r="N7" s="5">
        <f>IFERROR(M7/K7,0)</f>
        <v/>
      </c>
    </row>
    <row r="8">
      <c r="A8" t="inlineStr">
        <is>
          <t>ORD-0007</t>
        </is>
      </c>
      <c r="B8" s="2" t="n">
        <v>45841</v>
      </c>
      <c r="C8" t="inlineStr">
        <is>
          <t>East</t>
        </is>
      </c>
      <c r="D8" t="inlineStr">
        <is>
          <t>Online</t>
        </is>
      </c>
      <c r="E8" t="inlineStr">
        <is>
          <t>Wireless Mouse</t>
        </is>
      </c>
      <c r="F8" t="inlineStr">
        <is>
          <t>Accessories</t>
        </is>
      </c>
      <c r="G8" t="n">
        <v>6</v>
      </c>
      <c r="H8" s="3" t="n">
        <v>21.25</v>
      </c>
      <c r="I8" s="4" t="n">
        <v>0.15</v>
      </c>
      <c r="J8" s="3" t="n">
        <v>14</v>
      </c>
      <c r="K8" s="3">
        <f>G8*H8</f>
        <v/>
      </c>
      <c r="L8" s="3">
        <f>G8*J8</f>
        <v/>
      </c>
      <c r="M8" s="3">
        <f>K8-L8</f>
        <v/>
      </c>
      <c r="N8" s="5">
        <f>IFERROR(M8/K8,0)</f>
        <v/>
      </c>
    </row>
    <row r="9">
      <c r="A9" t="inlineStr">
        <is>
          <t>ORD-0008</t>
        </is>
      </c>
      <c r="B9" s="2" t="n">
        <v>45932</v>
      </c>
      <c r="C9" t="inlineStr">
        <is>
          <t>North</t>
        </is>
      </c>
      <c r="D9" t="inlineStr">
        <is>
          <t>Corporate</t>
        </is>
      </c>
      <c r="E9" t="inlineStr">
        <is>
          <t>Desk Lamp</t>
        </is>
      </c>
      <c r="F9" t="inlineStr">
        <is>
          <t>Office</t>
        </is>
      </c>
      <c r="G9" t="n">
        <v>2</v>
      </c>
      <c r="H9" s="3" t="n">
        <v>37.8</v>
      </c>
      <c r="I9" s="4" t="n">
        <v>0.1</v>
      </c>
      <c r="J9" s="3" t="n">
        <v>24</v>
      </c>
      <c r="K9" s="3">
        <f>G9*H9</f>
        <v/>
      </c>
      <c r="L9" s="3">
        <f>G9*J9</f>
        <v/>
      </c>
      <c r="M9" s="3">
        <f>K9-L9</f>
        <v/>
      </c>
      <c r="N9" s="5">
        <f>IFERROR(M9/K9,0)</f>
        <v/>
      </c>
    </row>
    <row r="10">
      <c r="A10" t="inlineStr">
        <is>
          <t>ORD-0009</t>
        </is>
      </c>
      <c r="B10" s="2" t="n">
        <v>45979</v>
      </c>
      <c r="C10" t="inlineStr">
        <is>
          <t>South</t>
        </is>
      </c>
      <c r="D10" t="inlineStr">
        <is>
          <t>Corporate</t>
        </is>
      </c>
      <c r="E10" t="inlineStr">
        <is>
          <t>USB-C Hub</t>
        </is>
      </c>
      <c r="F10" t="inlineStr">
        <is>
          <t>Electronics</t>
        </is>
      </c>
      <c r="G10" t="n">
        <v>6</v>
      </c>
      <c r="H10" s="3" t="n">
        <v>41.65</v>
      </c>
      <c r="I10" s="4" t="n">
        <v>0.15</v>
      </c>
      <c r="J10" s="3" t="n">
        <v>28</v>
      </c>
      <c r="K10" s="3">
        <f>G10*H10</f>
        <v/>
      </c>
      <c r="L10" s="3">
        <f>G10*J10</f>
        <v/>
      </c>
      <c r="M10" s="3">
        <f>K10-L10</f>
        <v/>
      </c>
      <c r="N10" s="5">
        <f>IFERROR(M10/K10,0)</f>
        <v/>
      </c>
    </row>
    <row r="11">
      <c r="A11" t="inlineStr">
        <is>
          <t>ORD-0010</t>
        </is>
      </c>
      <c r="B11" s="2" t="n">
        <v>45681</v>
      </c>
      <c r="C11" t="inlineStr">
        <is>
          <t>North</t>
        </is>
      </c>
      <c r="D11" t="inlineStr">
        <is>
          <t>Online</t>
        </is>
      </c>
      <c r="E11" t="inlineStr">
        <is>
          <t>Wireless Mouse</t>
        </is>
      </c>
      <c r="F11" t="inlineStr">
        <is>
          <t>Accessories</t>
        </is>
      </c>
      <c r="G11" t="n">
        <v>4</v>
      </c>
      <c r="H11" s="3" t="n">
        <v>23.75</v>
      </c>
      <c r="I11" s="4" t="n">
        <v>0.05</v>
      </c>
      <c r="J11" s="3" t="n">
        <v>14</v>
      </c>
      <c r="K11" s="3">
        <f>G11*H11</f>
        <v/>
      </c>
      <c r="L11" s="3">
        <f>G11*J11</f>
        <v/>
      </c>
      <c r="M11" s="3">
        <f>K11-L11</f>
        <v/>
      </c>
      <c r="N11" s="5">
        <f>IFERROR(M11/K11,0)</f>
        <v/>
      </c>
    </row>
    <row r="12">
      <c r="A12" t="inlineStr">
        <is>
          <t>ORD-0011</t>
        </is>
      </c>
      <c r="B12" s="2" t="n">
        <v>45852</v>
      </c>
      <c r="C12" t="inlineStr">
        <is>
          <t>East</t>
        </is>
      </c>
      <c r="D12" t="inlineStr">
        <is>
          <t>Online</t>
        </is>
      </c>
      <c r="E12" t="inlineStr">
        <is>
          <t>Wireless Mouse</t>
        </is>
      </c>
      <c r="F12" t="inlineStr">
        <is>
          <t>Accessories</t>
        </is>
      </c>
      <c r="G12" t="n">
        <v>5</v>
      </c>
      <c r="H12" s="3" t="n">
        <v>22.5</v>
      </c>
      <c r="I12" s="4" t="n">
        <v>0.1</v>
      </c>
      <c r="J12" s="3" t="n">
        <v>14</v>
      </c>
      <c r="K12" s="3">
        <f>G12*H12</f>
        <v/>
      </c>
      <c r="L12" s="3">
        <f>G12*J12</f>
        <v/>
      </c>
      <c r="M12" s="3">
        <f>K12-L12</f>
        <v/>
      </c>
      <c r="N12" s="5">
        <f>IFERROR(M12/K12,0)</f>
        <v/>
      </c>
    </row>
    <row r="13">
      <c r="A13" t="inlineStr">
        <is>
          <t>ORD-0012</t>
        </is>
      </c>
      <c r="B13" s="2" t="n">
        <v>45839</v>
      </c>
      <c r="C13" t="inlineStr">
        <is>
          <t>North</t>
        </is>
      </c>
      <c r="D13" t="inlineStr">
        <is>
          <t>Corporate</t>
        </is>
      </c>
      <c r="E13" t="inlineStr">
        <is>
          <t>Headphones</t>
        </is>
      </c>
      <c r="F13" t="inlineStr">
        <is>
          <t>Electronics</t>
        </is>
      </c>
      <c r="G13" t="n">
        <v>4</v>
      </c>
      <c r="H13" s="3" t="n">
        <v>75.05</v>
      </c>
      <c r="I13" s="4" t="n">
        <v>0.05</v>
      </c>
      <c r="J13" s="3" t="n">
        <v>48</v>
      </c>
      <c r="K13" s="3">
        <f>G13*H13</f>
        <v/>
      </c>
      <c r="L13" s="3">
        <f>G13*J13</f>
        <v/>
      </c>
      <c r="M13" s="3">
        <f>K13-L13</f>
        <v/>
      </c>
      <c r="N13" s="5">
        <f>IFERROR(M13/K13,0)</f>
        <v/>
      </c>
    </row>
    <row r="14">
      <c r="A14" t="inlineStr">
        <is>
          <t>ORD-0013</t>
        </is>
      </c>
      <c r="B14" s="2" t="n">
        <v>45931</v>
      </c>
      <c r="C14" t="inlineStr">
        <is>
          <t>West</t>
        </is>
      </c>
      <c r="D14" t="inlineStr">
        <is>
          <t>Retail</t>
        </is>
      </c>
      <c r="E14" t="inlineStr">
        <is>
          <t>Keyboard</t>
        </is>
      </c>
      <c r="F14" t="inlineStr">
        <is>
          <t>Accessories</t>
        </is>
      </c>
      <c r="G14" t="n">
        <v>4</v>
      </c>
      <c r="H14" s="3" t="n">
        <v>39</v>
      </c>
      <c r="I14" s="4" t="n">
        <v>0</v>
      </c>
      <c r="J14" s="3" t="n">
        <v>22</v>
      </c>
      <c r="K14" s="3">
        <f>G14*H14</f>
        <v/>
      </c>
      <c r="L14" s="3">
        <f>G14*J14</f>
        <v/>
      </c>
      <c r="M14" s="3">
        <f>K14-L14</f>
        <v/>
      </c>
      <c r="N14" s="5">
        <f>IFERROR(M14/K14,0)</f>
        <v/>
      </c>
    </row>
    <row r="15">
      <c r="A15" t="inlineStr">
        <is>
          <t>ORD-0014</t>
        </is>
      </c>
      <c r="B15" s="2" t="n">
        <v>45985</v>
      </c>
      <c r="C15" t="inlineStr">
        <is>
          <t>North</t>
        </is>
      </c>
      <c r="D15" t="inlineStr">
        <is>
          <t>Online</t>
        </is>
      </c>
      <c r="E15" t="inlineStr">
        <is>
          <t>USB-C Hub</t>
        </is>
      </c>
      <c r="F15" t="inlineStr">
        <is>
          <t>Electronics</t>
        </is>
      </c>
      <c r="G15" t="n">
        <v>4</v>
      </c>
      <c r="H15" s="3" t="n">
        <v>46.55</v>
      </c>
      <c r="I15" s="4" t="n">
        <v>0.05</v>
      </c>
      <c r="J15" s="3" t="n">
        <v>28</v>
      </c>
      <c r="K15" s="3">
        <f>G15*H15</f>
        <v/>
      </c>
      <c r="L15" s="3">
        <f>G15*J15</f>
        <v/>
      </c>
      <c r="M15" s="3">
        <f>K15-L15</f>
        <v/>
      </c>
      <c r="N15" s="5">
        <f>IFERROR(M15/K15,0)</f>
        <v/>
      </c>
    </row>
    <row r="16">
      <c r="A16" t="inlineStr">
        <is>
          <t>ORD-0015</t>
        </is>
      </c>
      <c r="B16" s="2" t="n">
        <v>45819</v>
      </c>
      <c r="C16" t="inlineStr">
        <is>
          <t>North</t>
        </is>
      </c>
      <c r="D16" t="inlineStr">
        <is>
          <t>Online</t>
        </is>
      </c>
      <c r="E16" t="inlineStr">
        <is>
          <t>Laptop Stand</t>
        </is>
      </c>
      <c r="F16" t="inlineStr">
        <is>
          <t>Accessories</t>
        </is>
      </c>
      <c r="G16" t="n">
        <v>7</v>
      </c>
      <c r="H16" s="3" t="n">
        <v>52.25</v>
      </c>
      <c r="I16" s="4" t="n">
        <v>0.05</v>
      </c>
      <c r="J16" s="3" t="n">
        <v>32</v>
      </c>
      <c r="K16" s="3">
        <f>G16*H16</f>
        <v/>
      </c>
      <c r="L16" s="3">
        <f>G16*J16</f>
        <v/>
      </c>
      <c r="M16" s="3">
        <f>K16-L16</f>
        <v/>
      </c>
      <c r="N16" s="5">
        <f>IFERROR(M16/K16,0)</f>
        <v/>
      </c>
    </row>
    <row r="17">
      <c r="A17" t="inlineStr">
        <is>
          <t>ORD-0016</t>
        </is>
      </c>
      <c r="B17" s="2" t="n">
        <v>45766</v>
      </c>
      <c r="C17" t="inlineStr">
        <is>
          <t>West</t>
        </is>
      </c>
      <c r="D17" t="inlineStr">
        <is>
          <t>Online</t>
        </is>
      </c>
      <c r="E17" t="inlineStr">
        <is>
          <t>Headphones</t>
        </is>
      </c>
      <c r="F17" t="inlineStr">
        <is>
          <t>Electronics</t>
        </is>
      </c>
      <c r="G17" t="n">
        <v>8</v>
      </c>
      <c r="H17" s="3" t="n">
        <v>71.09999999999999</v>
      </c>
      <c r="I17" s="4" t="n">
        <v>0.1</v>
      </c>
      <c r="J17" s="3" t="n">
        <v>48</v>
      </c>
      <c r="K17" s="3">
        <f>G17*H17</f>
        <v/>
      </c>
      <c r="L17" s="3">
        <f>G17*J17</f>
        <v/>
      </c>
      <c r="M17" s="3">
        <f>K17-L17</f>
        <v/>
      </c>
      <c r="N17" s="5">
        <f>IFERROR(M17/K17,0)</f>
        <v/>
      </c>
    </row>
    <row r="18">
      <c r="A18" t="inlineStr">
        <is>
          <t>ORD-0017</t>
        </is>
      </c>
      <c r="B18" s="2" t="n">
        <v>45729</v>
      </c>
      <c r="C18" t="inlineStr">
        <is>
          <t>East</t>
        </is>
      </c>
      <c r="D18" t="inlineStr">
        <is>
          <t>Corporate</t>
        </is>
      </c>
      <c r="E18" t="inlineStr">
        <is>
          <t>USB-C Hub</t>
        </is>
      </c>
      <c r="F18" t="inlineStr">
        <is>
          <t>Electronics</t>
        </is>
      </c>
      <c r="G18" t="n">
        <v>4</v>
      </c>
      <c r="H18" s="3" t="n">
        <v>41.65</v>
      </c>
      <c r="I18" s="4" t="n">
        <v>0.15</v>
      </c>
      <c r="J18" s="3" t="n">
        <v>28</v>
      </c>
      <c r="K18" s="3">
        <f>G18*H18</f>
        <v/>
      </c>
      <c r="L18" s="3">
        <f>G18*J18</f>
        <v/>
      </c>
      <c r="M18" s="3">
        <f>K18-L18</f>
        <v/>
      </c>
      <c r="N18" s="5">
        <f>IFERROR(M18/K18,0)</f>
        <v/>
      </c>
    </row>
    <row r="19">
      <c r="A19" t="inlineStr">
        <is>
          <t>ORD-0018</t>
        </is>
      </c>
      <c r="B19" s="2" t="n">
        <v>45956</v>
      </c>
      <c r="C19" t="inlineStr">
        <is>
          <t>South</t>
        </is>
      </c>
      <c r="D19" t="inlineStr">
        <is>
          <t>Online</t>
        </is>
      </c>
      <c r="E19" t="inlineStr">
        <is>
          <t>Notebook Set</t>
        </is>
      </c>
      <c r="F19" t="inlineStr">
        <is>
          <t>Stationery</t>
        </is>
      </c>
      <c r="G19" t="n">
        <v>7</v>
      </c>
      <c r="H19" s="3" t="n">
        <v>11.4</v>
      </c>
      <c r="I19" s="4" t="n">
        <v>0.05</v>
      </c>
      <c r="J19" s="3" t="n">
        <v>5</v>
      </c>
      <c r="K19" s="3">
        <f>G19*H19</f>
        <v/>
      </c>
      <c r="L19" s="3">
        <f>G19*J19</f>
        <v/>
      </c>
      <c r="M19" s="3">
        <f>K19-L19</f>
        <v/>
      </c>
      <c r="N19" s="5">
        <f>IFERROR(M19/K19,0)</f>
        <v/>
      </c>
    </row>
    <row r="20">
      <c r="A20" t="inlineStr">
        <is>
          <t>ORD-0019</t>
        </is>
      </c>
      <c r="B20" s="2" t="n">
        <v>45704</v>
      </c>
      <c r="C20" t="inlineStr">
        <is>
          <t>South</t>
        </is>
      </c>
      <c r="D20" t="inlineStr">
        <is>
          <t>Corporate</t>
        </is>
      </c>
      <c r="E20" t="inlineStr">
        <is>
          <t>Desk Lamp</t>
        </is>
      </c>
      <c r="F20" t="inlineStr">
        <is>
          <t>Office</t>
        </is>
      </c>
      <c r="G20" t="n">
        <v>1</v>
      </c>
      <c r="H20" s="3" t="n">
        <v>42</v>
      </c>
      <c r="I20" s="4" t="n">
        <v>0</v>
      </c>
      <c r="J20" s="3" t="n">
        <v>24</v>
      </c>
      <c r="K20" s="3">
        <f>G20*H20</f>
        <v/>
      </c>
      <c r="L20" s="3">
        <f>G20*J20</f>
        <v/>
      </c>
      <c r="M20" s="3">
        <f>K20-L20</f>
        <v/>
      </c>
      <c r="N20" s="5">
        <f>IFERROR(M20/K20,0)</f>
        <v/>
      </c>
    </row>
    <row r="21">
      <c r="A21" t="inlineStr">
        <is>
          <t>ORD-0020</t>
        </is>
      </c>
      <c r="B21" s="2" t="n">
        <v>46006</v>
      </c>
      <c r="C21" t="inlineStr">
        <is>
          <t>North</t>
        </is>
      </c>
      <c r="D21" t="inlineStr">
        <is>
          <t>Retail</t>
        </is>
      </c>
      <c r="E21" t="inlineStr">
        <is>
          <t>Keyboard</t>
        </is>
      </c>
      <c r="F21" t="inlineStr">
        <is>
          <t>Accessories</t>
        </is>
      </c>
      <c r="G21" t="n">
        <v>7</v>
      </c>
      <c r="H21" s="3" t="n">
        <v>33.15</v>
      </c>
      <c r="I21" s="4" t="n">
        <v>0.15</v>
      </c>
      <c r="J21" s="3" t="n">
        <v>22</v>
      </c>
      <c r="K21" s="3">
        <f>G21*H21</f>
        <v/>
      </c>
      <c r="L21" s="3">
        <f>G21*J21</f>
        <v/>
      </c>
      <c r="M21" s="3">
        <f>K21-L21</f>
        <v/>
      </c>
      <c r="N21" s="5">
        <f>IFERROR(M21/K21,0)</f>
        <v/>
      </c>
    </row>
    <row r="22">
      <c r="A22" t="inlineStr">
        <is>
          <t>ORD-0021</t>
        </is>
      </c>
      <c r="B22" s="2" t="n">
        <v>45963</v>
      </c>
      <c r="C22" t="inlineStr">
        <is>
          <t>East</t>
        </is>
      </c>
      <c r="D22" t="inlineStr">
        <is>
          <t>Corporate</t>
        </is>
      </c>
      <c r="E22" t="inlineStr">
        <is>
          <t>Notebook Set</t>
        </is>
      </c>
      <c r="F22" t="inlineStr">
        <is>
          <t>Stationery</t>
        </is>
      </c>
      <c r="G22" t="n">
        <v>8</v>
      </c>
      <c r="H22" s="3" t="n">
        <v>10.2</v>
      </c>
      <c r="I22" s="4" t="n">
        <v>0.15</v>
      </c>
      <c r="J22" s="3" t="n">
        <v>5</v>
      </c>
      <c r="K22" s="3">
        <f>G22*H22</f>
        <v/>
      </c>
      <c r="L22" s="3">
        <f>G22*J22</f>
        <v/>
      </c>
      <c r="M22" s="3">
        <f>K22-L22</f>
        <v/>
      </c>
      <c r="N22" s="5">
        <f>IFERROR(M22/K22,0)</f>
        <v/>
      </c>
    </row>
    <row r="23">
      <c r="A23" t="inlineStr">
        <is>
          <t>ORD-0022</t>
        </is>
      </c>
      <c r="B23" s="2" t="n">
        <v>46006</v>
      </c>
      <c r="C23" t="inlineStr">
        <is>
          <t>East</t>
        </is>
      </c>
      <c r="D23" t="inlineStr">
        <is>
          <t>Corporate</t>
        </is>
      </c>
      <c r="E23" t="inlineStr">
        <is>
          <t>Laptop Stand</t>
        </is>
      </c>
      <c r="F23" t="inlineStr">
        <is>
          <t>Accessories</t>
        </is>
      </c>
      <c r="G23" t="n">
        <v>2</v>
      </c>
      <c r="H23" s="3" t="n">
        <v>46.75</v>
      </c>
      <c r="I23" s="4" t="n">
        <v>0.15</v>
      </c>
      <c r="J23" s="3" t="n">
        <v>32</v>
      </c>
      <c r="K23" s="3">
        <f>G23*H23</f>
        <v/>
      </c>
      <c r="L23" s="3">
        <f>G23*J23</f>
        <v/>
      </c>
      <c r="M23" s="3">
        <f>K23-L23</f>
        <v/>
      </c>
      <c r="N23" s="5">
        <f>IFERROR(M23/K23,0)</f>
        <v/>
      </c>
    </row>
    <row r="24">
      <c r="A24" t="inlineStr">
        <is>
          <t>ORD-0023</t>
        </is>
      </c>
      <c r="B24" s="2" t="n">
        <v>45715</v>
      </c>
      <c r="C24" t="inlineStr">
        <is>
          <t>South</t>
        </is>
      </c>
      <c r="D24" t="inlineStr">
        <is>
          <t>Retail</t>
        </is>
      </c>
      <c r="E24" t="inlineStr">
        <is>
          <t>Headphones</t>
        </is>
      </c>
      <c r="F24" t="inlineStr">
        <is>
          <t>Electronics</t>
        </is>
      </c>
      <c r="G24" t="n">
        <v>5</v>
      </c>
      <c r="H24" s="3" t="n">
        <v>71.09999999999999</v>
      </c>
      <c r="I24" s="4" t="n">
        <v>0.1</v>
      </c>
      <c r="J24" s="3" t="n">
        <v>48</v>
      </c>
      <c r="K24" s="3">
        <f>G24*H24</f>
        <v/>
      </c>
      <c r="L24" s="3">
        <f>G24*J24</f>
        <v/>
      </c>
      <c r="M24" s="3">
        <f>K24-L24</f>
        <v/>
      </c>
      <c r="N24" s="5">
        <f>IFERROR(M24/K24,0)</f>
        <v/>
      </c>
    </row>
    <row r="25">
      <c r="A25" t="inlineStr">
        <is>
          <t>ORD-0024</t>
        </is>
      </c>
      <c r="B25" s="2" t="n">
        <v>45792</v>
      </c>
      <c r="C25" t="inlineStr">
        <is>
          <t>North</t>
        </is>
      </c>
      <c r="D25" t="inlineStr">
        <is>
          <t>Corporate</t>
        </is>
      </c>
      <c r="E25" t="inlineStr">
        <is>
          <t>Laptop Stand</t>
        </is>
      </c>
      <c r="F25" t="inlineStr">
        <is>
          <t>Accessories</t>
        </is>
      </c>
      <c r="G25" t="n">
        <v>3</v>
      </c>
      <c r="H25" s="3" t="n">
        <v>46.75</v>
      </c>
      <c r="I25" s="4" t="n">
        <v>0.15</v>
      </c>
      <c r="J25" s="3" t="n">
        <v>32</v>
      </c>
      <c r="K25" s="3">
        <f>G25*H25</f>
        <v/>
      </c>
      <c r="L25" s="3">
        <f>G25*J25</f>
        <v/>
      </c>
      <c r="M25" s="3">
        <f>K25-L25</f>
        <v/>
      </c>
      <c r="N25" s="5">
        <f>IFERROR(M25/K25,0)</f>
        <v/>
      </c>
    </row>
    <row r="26">
      <c r="A26" t="inlineStr">
        <is>
          <t>ORD-0025</t>
        </is>
      </c>
      <c r="B26" s="2" t="n">
        <v>45985</v>
      </c>
      <c r="C26" t="inlineStr">
        <is>
          <t>East</t>
        </is>
      </c>
      <c r="D26" t="inlineStr">
        <is>
          <t>Online</t>
        </is>
      </c>
      <c r="E26" t="inlineStr">
        <is>
          <t>USB-C Hub</t>
        </is>
      </c>
      <c r="F26" t="inlineStr">
        <is>
          <t>Electronics</t>
        </is>
      </c>
      <c r="G26" t="n">
        <v>4</v>
      </c>
      <c r="H26" s="3" t="n">
        <v>49</v>
      </c>
      <c r="I26" s="4" t="n">
        <v>0</v>
      </c>
      <c r="J26" s="3" t="n">
        <v>28</v>
      </c>
      <c r="K26" s="3">
        <f>G26*H26</f>
        <v/>
      </c>
      <c r="L26" s="3">
        <f>G26*J26</f>
        <v/>
      </c>
      <c r="M26" s="3">
        <f>K26-L26</f>
        <v/>
      </c>
      <c r="N26" s="5">
        <f>IFERROR(M26/K26,0)</f>
        <v/>
      </c>
    </row>
    <row r="27">
      <c r="A27" t="inlineStr">
        <is>
          <t>ORD-0026</t>
        </is>
      </c>
      <c r="B27" s="2" t="n">
        <v>45964</v>
      </c>
      <c r="C27" t="inlineStr">
        <is>
          <t>North</t>
        </is>
      </c>
      <c r="D27" t="inlineStr">
        <is>
          <t>Online</t>
        </is>
      </c>
      <c r="E27" t="inlineStr">
        <is>
          <t>Laptop Stand</t>
        </is>
      </c>
      <c r="F27" t="inlineStr">
        <is>
          <t>Accessories</t>
        </is>
      </c>
      <c r="G27" t="n">
        <v>6</v>
      </c>
      <c r="H27" s="3" t="n">
        <v>49.5</v>
      </c>
      <c r="I27" s="4" t="n">
        <v>0.1</v>
      </c>
      <c r="J27" s="3" t="n">
        <v>32</v>
      </c>
      <c r="K27" s="3">
        <f>G27*H27</f>
        <v/>
      </c>
      <c r="L27" s="3">
        <f>G27*J27</f>
        <v/>
      </c>
      <c r="M27" s="3">
        <f>K27-L27</f>
        <v/>
      </c>
      <c r="N27" s="5">
        <f>IFERROR(M27/K27,0)</f>
        <v/>
      </c>
    </row>
    <row r="28">
      <c r="A28" t="inlineStr">
        <is>
          <t>ORD-0027</t>
        </is>
      </c>
      <c r="B28" s="2" t="n">
        <v>45815</v>
      </c>
      <c r="C28" t="inlineStr">
        <is>
          <t>South</t>
        </is>
      </c>
      <c r="D28" t="inlineStr">
        <is>
          <t>Corporate</t>
        </is>
      </c>
      <c r="E28" t="inlineStr">
        <is>
          <t>Headphones</t>
        </is>
      </c>
      <c r="F28" t="inlineStr">
        <is>
          <t>Electronics</t>
        </is>
      </c>
      <c r="G28" t="n">
        <v>4</v>
      </c>
      <c r="H28" s="3" t="n">
        <v>79</v>
      </c>
      <c r="I28" s="4" t="n">
        <v>0</v>
      </c>
      <c r="J28" s="3" t="n">
        <v>48</v>
      </c>
      <c r="K28" s="3">
        <f>G28*H28</f>
        <v/>
      </c>
      <c r="L28" s="3">
        <f>G28*J28</f>
        <v/>
      </c>
      <c r="M28" s="3">
        <f>K28-L28</f>
        <v/>
      </c>
      <c r="N28" s="5">
        <f>IFERROR(M28/K28,0)</f>
        <v/>
      </c>
    </row>
    <row r="29">
      <c r="A29" t="inlineStr">
        <is>
          <t>ORD-0028</t>
        </is>
      </c>
      <c r="B29" s="2" t="n">
        <v>45701</v>
      </c>
      <c r="C29" t="inlineStr">
        <is>
          <t>South</t>
        </is>
      </c>
      <c r="D29" t="inlineStr">
        <is>
          <t>Online</t>
        </is>
      </c>
      <c r="E29" t="inlineStr">
        <is>
          <t>Wireless Mouse</t>
        </is>
      </c>
      <c r="F29" t="inlineStr">
        <is>
          <t>Accessories</t>
        </is>
      </c>
      <c r="G29" t="n">
        <v>8</v>
      </c>
      <c r="H29" s="3" t="n">
        <v>25</v>
      </c>
      <c r="I29" s="4" t="n">
        <v>0</v>
      </c>
      <c r="J29" s="3" t="n">
        <v>14</v>
      </c>
      <c r="K29" s="3">
        <f>G29*H29</f>
        <v/>
      </c>
      <c r="L29" s="3">
        <f>G29*J29</f>
        <v/>
      </c>
      <c r="M29" s="3">
        <f>K29-L29</f>
        <v/>
      </c>
      <c r="N29" s="5">
        <f>IFERROR(M29/K29,0)</f>
        <v/>
      </c>
    </row>
    <row r="30">
      <c r="A30" t="inlineStr">
        <is>
          <t>ORD-0029</t>
        </is>
      </c>
      <c r="B30" s="2" t="n">
        <v>45939</v>
      </c>
      <c r="C30" t="inlineStr">
        <is>
          <t>West</t>
        </is>
      </c>
      <c r="D30" t="inlineStr">
        <is>
          <t>Online</t>
        </is>
      </c>
      <c r="E30" t="inlineStr">
        <is>
          <t>Desk Lamp</t>
        </is>
      </c>
      <c r="F30" t="inlineStr">
        <is>
          <t>Office</t>
        </is>
      </c>
      <c r="G30" t="n">
        <v>3</v>
      </c>
      <c r="H30" s="3" t="n">
        <v>39.9</v>
      </c>
      <c r="I30" s="4" t="n">
        <v>0.05</v>
      </c>
      <c r="J30" s="3" t="n">
        <v>24</v>
      </c>
      <c r="K30" s="3">
        <f>G30*H30</f>
        <v/>
      </c>
      <c r="L30" s="3">
        <f>G30*J30</f>
        <v/>
      </c>
      <c r="M30" s="3">
        <f>K30-L30</f>
        <v/>
      </c>
      <c r="N30" s="5">
        <f>IFERROR(M30/K30,0)</f>
        <v/>
      </c>
    </row>
    <row r="31">
      <c r="A31" t="inlineStr">
        <is>
          <t>ORD-0030</t>
        </is>
      </c>
      <c r="B31" s="2" t="n">
        <v>45817</v>
      </c>
      <c r="C31" t="inlineStr">
        <is>
          <t>West</t>
        </is>
      </c>
      <c r="D31" t="inlineStr">
        <is>
          <t>Corporate</t>
        </is>
      </c>
      <c r="E31" t="inlineStr">
        <is>
          <t>Monitor</t>
        </is>
      </c>
      <c r="F31" t="inlineStr">
        <is>
          <t>Electronics</t>
        </is>
      </c>
      <c r="G31" t="n">
        <v>7</v>
      </c>
      <c r="H31" s="3" t="n">
        <v>209</v>
      </c>
      <c r="I31" s="4" t="n">
        <v>0.05</v>
      </c>
      <c r="J31" s="3" t="n">
        <v>145</v>
      </c>
      <c r="K31" s="3">
        <f>G31*H31</f>
        <v/>
      </c>
      <c r="L31" s="3">
        <f>G31*J31</f>
        <v/>
      </c>
      <c r="M31" s="3">
        <f>K31-L31</f>
        <v/>
      </c>
      <c r="N31" s="5">
        <f>IFERROR(M31/K31,0)</f>
        <v/>
      </c>
    </row>
    <row r="32">
      <c r="A32" t="inlineStr">
        <is>
          <t>ORD-0031</t>
        </is>
      </c>
      <c r="B32" s="2" t="n">
        <v>45719</v>
      </c>
      <c r="C32" t="inlineStr">
        <is>
          <t>North</t>
        </is>
      </c>
      <c r="D32" t="inlineStr">
        <is>
          <t>Retail</t>
        </is>
      </c>
      <c r="E32" t="inlineStr">
        <is>
          <t>Desk Lamp</t>
        </is>
      </c>
      <c r="F32" t="inlineStr">
        <is>
          <t>Office</t>
        </is>
      </c>
      <c r="G32" t="n">
        <v>4</v>
      </c>
      <c r="H32" s="3" t="n">
        <v>42</v>
      </c>
      <c r="I32" s="4" t="n">
        <v>0</v>
      </c>
      <c r="J32" s="3" t="n">
        <v>24</v>
      </c>
      <c r="K32" s="3">
        <f>G32*H32</f>
        <v/>
      </c>
      <c r="L32" s="3">
        <f>G32*J32</f>
        <v/>
      </c>
      <c r="M32" s="3">
        <f>K32-L32</f>
        <v/>
      </c>
      <c r="N32" s="5">
        <f>IFERROR(M32/K32,0)</f>
        <v/>
      </c>
    </row>
    <row r="33">
      <c r="A33" t="inlineStr">
        <is>
          <t>ORD-0032</t>
        </is>
      </c>
      <c r="B33" s="2" t="n">
        <v>45959</v>
      </c>
      <c r="C33" t="inlineStr">
        <is>
          <t>South</t>
        </is>
      </c>
      <c r="D33" t="inlineStr">
        <is>
          <t>Online</t>
        </is>
      </c>
      <c r="E33" t="inlineStr">
        <is>
          <t>Laptop Stand</t>
        </is>
      </c>
      <c r="F33" t="inlineStr">
        <is>
          <t>Accessories</t>
        </is>
      </c>
      <c r="G33" t="n">
        <v>4</v>
      </c>
      <c r="H33" s="3" t="n">
        <v>46.75</v>
      </c>
      <c r="I33" s="4" t="n">
        <v>0.15</v>
      </c>
      <c r="J33" s="3" t="n">
        <v>32</v>
      </c>
      <c r="K33" s="3">
        <f>G33*H33</f>
        <v/>
      </c>
      <c r="L33" s="3">
        <f>G33*J33</f>
        <v/>
      </c>
      <c r="M33" s="3">
        <f>K33-L33</f>
        <v/>
      </c>
      <c r="N33" s="5">
        <f>IFERROR(M33/K33,0)</f>
        <v/>
      </c>
    </row>
    <row r="34">
      <c r="A34" t="inlineStr">
        <is>
          <t>ORD-0033</t>
        </is>
      </c>
      <c r="B34" s="2" t="n">
        <v>46020</v>
      </c>
      <c r="C34" t="inlineStr">
        <is>
          <t>North</t>
        </is>
      </c>
      <c r="D34" t="inlineStr">
        <is>
          <t>Online</t>
        </is>
      </c>
      <c r="E34" t="inlineStr">
        <is>
          <t>Wireless Mouse</t>
        </is>
      </c>
      <c r="F34" t="inlineStr">
        <is>
          <t>Accessories</t>
        </is>
      </c>
      <c r="G34" t="n">
        <v>1</v>
      </c>
      <c r="H34" s="3" t="n">
        <v>25</v>
      </c>
      <c r="I34" s="4" t="n">
        <v>0</v>
      </c>
      <c r="J34" s="3" t="n">
        <v>14</v>
      </c>
      <c r="K34" s="3">
        <f>G34*H34</f>
        <v/>
      </c>
      <c r="L34" s="3">
        <f>G34*J34</f>
        <v/>
      </c>
      <c r="M34" s="3">
        <f>K34-L34</f>
        <v/>
      </c>
      <c r="N34" s="5">
        <f>IFERROR(M34/K34,0)</f>
        <v/>
      </c>
    </row>
    <row r="35">
      <c r="A35" t="inlineStr">
        <is>
          <t>ORD-0034</t>
        </is>
      </c>
      <c r="B35" s="2" t="n">
        <v>45694</v>
      </c>
      <c r="C35" t="inlineStr">
        <is>
          <t>West</t>
        </is>
      </c>
      <c r="D35" t="inlineStr">
        <is>
          <t>Online</t>
        </is>
      </c>
      <c r="E35" t="inlineStr">
        <is>
          <t>Headphones</t>
        </is>
      </c>
      <c r="F35" t="inlineStr">
        <is>
          <t>Electronics</t>
        </is>
      </c>
      <c r="G35" t="n">
        <v>4</v>
      </c>
      <c r="H35" s="3" t="n">
        <v>75.05</v>
      </c>
      <c r="I35" s="4" t="n">
        <v>0.05</v>
      </c>
      <c r="J35" s="3" t="n">
        <v>48</v>
      </c>
      <c r="K35" s="3">
        <f>G35*H35</f>
        <v/>
      </c>
      <c r="L35" s="3">
        <f>G35*J35</f>
        <v/>
      </c>
      <c r="M35" s="3">
        <f>K35-L35</f>
        <v/>
      </c>
      <c r="N35" s="5">
        <f>IFERROR(M35/K35,0)</f>
        <v/>
      </c>
    </row>
    <row r="36">
      <c r="A36" t="inlineStr">
        <is>
          <t>ORD-0035</t>
        </is>
      </c>
      <c r="B36" s="2" t="n">
        <v>45950</v>
      </c>
      <c r="C36" t="inlineStr">
        <is>
          <t>West</t>
        </is>
      </c>
      <c r="D36" t="inlineStr">
        <is>
          <t>Retail</t>
        </is>
      </c>
      <c r="E36" t="inlineStr">
        <is>
          <t>Keyboard</t>
        </is>
      </c>
      <c r="F36" t="inlineStr">
        <is>
          <t>Accessories</t>
        </is>
      </c>
      <c r="G36" t="n">
        <v>8</v>
      </c>
      <c r="H36" s="3" t="n">
        <v>39</v>
      </c>
      <c r="I36" s="4" t="n">
        <v>0</v>
      </c>
      <c r="J36" s="3" t="n">
        <v>22</v>
      </c>
      <c r="K36" s="3">
        <f>G36*H36</f>
        <v/>
      </c>
      <c r="L36" s="3">
        <f>G36*J36</f>
        <v/>
      </c>
      <c r="M36" s="3">
        <f>K36-L36</f>
        <v/>
      </c>
      <c r="N36" s="5">
        <f>IFERROR(M36/K36,0)</f>
        <v/>
      </c>
    </row>
    <row r="37">
      <c r="A37" t="inlineStr">
        <is>
          <t>ORD-0036</t>
        </is>
      </c>
      <c r="B37" s="2" t="n">
        <v>45706</v>
      </c>
      <c r="C37" t="inlineStr">
        <is>
          <t>East</t>
        </is>
      </c>
      <c r="D37" t="inlineStr">
        <is>
          <t>Retail</t>
        </is>
      </c>
      <c r="E37" t="inlineStr">
        <is>
          <t>Monitor</t>
        </is>
      </c>
      <c r="F37" t="inlineStr">
        <is>
          <t>Electronics</t>
        </is>
      </c>
      <c r="G37" t="n">
        <v>2</v>
      </c>
      <c r="H37" s="3" t="n">
        <v>198</v>
      </c>
      <c r="I37" s="4" t="n">
        <v>0.1</v>
      </c>
      <c r="J37" s="3" t="n">
        <v>145</v>
      </c>
      <c r="K37" s="3">
        <f>G37*H37</f>
        <v/>
      </c>
      <c r="L37" s="3">
        <f>G37*J37</f>
        <v/>
      </c>
      <c r="M37" s="3">
        <f>K37-L37</f>
        <v/>
      </c>
      <c r="N37" s="5">
        <f>IFERROR(M37/K37,0)</f>
        <v/>
      </c>
    </row>
    <row r="38">
      <c r="A38" t="inlineStr">
        <is>
          <t>ORD-0037</t>
        </is>
      </c>
      <c r="B38" s="2" t="n">
        <v>45897</v>
      </c>
      <c r="C38" t="inlineStr">
        <is>
          <t>North</t>
        </is>
      </c>
      <c r="D38" t="inlineStr">
        <is>
          <t>Retail</t>
        </is>
      </c>
      <c r="E38" t="inlineStr">
        <is>
          <t>Notebook Set</t>
        </is>
      </c>
      <c r="F38" t="inlineStr">
        <is>
          <t>Stationery</t>
        </is>
      </c>
      <c r="G38" t="n">
        <v>1</v>
      </c>
      <c r="H38" s="3" t="n">
        <v>12</v>
      </c>
      <c r="I38" s="4" t="n">
        <v>0</v>
      </c>
      <c r="J38" s="3" t="n">
        <v>5</v>
      </c>
      <c r="K38" s="3">
        <f>G38*H38</f>
        <v/>
      </c>
      <c r="L38" s="3">
        <f>G38*J38</f>
        <v/>
      </c>
      <c r="M38" s="3">
        <f>K38-L38</f>
        <v/>
      </c>
      <c r="N38" s="5">
        <f>IFERROR(M38/K38,0)</f>
        <v/>
      </c>
    </row>
    <row r="39">
      <c r="A39" t="inlineStr">
        <is>
          <t>ORD-0038</t>
        </is>
      </c>
      <c r="B39" s="2" t="n">
        <v>45713</v>
      </c>
      <c r="C39" t="inlineStr">
        <is>
          <t>South</t>
        </is>
      </c>
      <c r="D39" t="inlineStr">
        <is>
          <t>Corporate</t>
        </is>
      </c>
      <c r="E39" t="inlineStr">
        <is>
          <t>Headphones</t>
        </is>
      </c>
      <c r="F39" t="inlineStr">
        <is>
          <t>Electronics</t>
        </is>
      </c>
      <c r="G39" t="n">
        <v>4</v>
      </c>
      <c r="H39" s="3" t="n">
        <v>79</v>
      </c>
      <c r="I39" s="4" t="n">
        <v>0</v>
      </c>
      <c r="J39" s="3" t="n">
        <v>48</v>
      </c>
      <c r="K39" s="3">
        <f>G39*H39</f>
        <v/>
      </c>
      <c r="L39" s="3">
        <f>G39*J39</f>
        <v/>
      </c>
      <c r="M39" s="3">
        <f>K39-L39</f>
        <v/>
      </c>
      <c r="N39" s="5">
        <f>IFERROR(M39/K39,0)</f>
        <v/>
      </c>
    </row>
    <row r="40">
      <c r="A40" t="inlineStr">
        <is>
          <t>ORD-0039</t>
        </is>
      </c>
      <c r="B40" s="2" t="n">
        <v>45729</v>
      </c>
      <c r="C40" t="inlineStr">
        <is>
          <t>East</t>
        </is>
      </c>
      <c r="D40" t="inlineStr">
        <is>
          <t>Retail</t>
        </is>
      </c>
      <c r="E40" t="inlineStr">
        <is>
          <t>Desk Lamp</t>
        </is>
      </c>
      <c r="F40" t="inlineStr">
        <is>
          <t>Office</t>
        </is>
      </c>
      <c r="G40" t="n">
        <v>7</v>
      </c>
      <c r="H40" s="3" t="n">
        <v>42</v>
      </c>
      <c r="I40" s="4" t="n">
        <v>0</v>
      </c>
      <c r="J40" s="3" t="n">
        <v>24</v>
      </c>
      <c r="K40" s="3">
        <f>G40*H40</f>
        <v/>
      </c>
      <c r="L40" s="3">
        <f>G40*J40</f>
        <v/>
      </c>
      <c r="M40" s="3">
        <f>K40-L40</f>
        <v/>
      </c>
      <c r="N40" s="5">
        <f>IFERROR(M40/K40,0)</f>
        <v/>
      </c>
    </row>
    <row r="41">
      <c r="A41" t="inlineStr">
        <is>
          <t>ORD-0040</t>
        </is>
      </c>
      <c r="B41" s="2" t="n">
        <v>45696</v>
      </c>
      <c r="C41" t="inlineStr">
        <is>
          <t>North</t>
        </is>
      </c>
      <c r="D41" t="inlineStr">
        <is>
          <t>Online</t>
        </is>
      </c>
      <c r="E41" t="inlineStr">
        <is>
          <t>Monitor</t>
        </is>
      </c>
      <c r="F41" t="inlineStr">
        <is>
          <t>Electronics</t>
        </is>
      </c>
      <c r="G41" t="n">
        <v>8</v>
      </c>
      <c r="H41" s="3" t="n">
        <v>187</v>
      </c>
      <c r="I41" s="4" t="n">
        <v>0.15</v>
      </c>
      <c r="J41" s="3" t="n">
        <v>145</v>
      </c>
      <c r="K41" s="3">
        <f>G41*H41</f>
        <v/>
      </c>
      <c r="L41" s="3">
        <f>G41*J41</f>
        <v/>
      </c>
      <c r="M41" s="3">
        <f>K41-L41</f>
        <v/>
      </c>
      <c r="N41" s="5">
        <f>IFERROR(M41/K41,0)</f>
        <v/>
      </c>
    </row>
    <row r="42">
      <c r="A42" t="inlineStr">
        <is>
          <t>ORD-0041</t>
        </is>
      </c>
      <c r="B42" s="2" t="n">
        <v>45705</v>
      </c>
      <c r="C42" t="inlineStr">
        <is>
          <t>West</t>
        </is>
      </c>
      <c r="D42" t="inlineStr">
        <is>
          <t>Retail</t>
        </is>
      </c>
      <c r="E42" t="inlineStr">
        <is>
          <t>Laptop Stand</t>
        </is>
      </c>
      <c r="F42" t="inlineStr">
        <is>
          <t>Accessories</t>
        </is>
      </c>
      <c r="G42" t="n">
        <v>4</v>
      </c>
      <c r="H42" s="3" t="n">
        <v>55</v>
      </c>
      <c r="I42" s="4" t="n">
        <v>0</v>
      </c>
      <c r="J42" s="3" t="n">
        <v>32</v>
      </c>
      <c r="K42" s="3">
        <f>G42*H42</f>
        <v/>
      </c>
      <c r="L42" s="3">
        <f>G42*J42</f>
        <v/>
      </c>
      <c r="M42" s="3">
        <f>K42-L42</f>
        <v/>
      </c>
      <c r="N42" s="5">
        <f>IFERROR(M42/K42,0)</f>
        <v/>
      </c>
    </row>
    <row r="43">
      <c r="A43" t="inlineStr">
        <is>
          <t>ORD-0042</t>
        </is>
      </c>
      <c r="B43" s="2" t="n">
        <v>45767</v>
      </c>
      <c r="C43" t="inlineStr">
        <is>
          <t>South</t>
        </is>
      </c>
      <c r="D43" t="inlineStr">
        <is>
          <t>Retail</t>
        </is>
      </c>
      <c r="E43" t="inlineStr">
        <is>
          <t>Desk Lamp</t>
        </is>
      </c>
      <c r="F43" t="inlineStr">
        <is>
          <t>Office</t>
        </is>
      </c>
      <c r="G43" t="n">
        <v>7</v>
      </c>
      <c r="H43" s="3" t="n">
        <v>42</v>
      </c>
      <c r="I43" s="4" t="n">
        <v>0</v>
      </c>
      <c r="J43" s="3" t="n">
        <v>24</v>
      </c>
      <c r="K43" s="3">
        <f>G43*H43</f>
        <v/>
      </c>
      <c r="L43" s="3">
        <f>G43*J43</f>
        <v/>
      </c>
      <c r="M43" s="3">
        <f>K43-L43</f>
        <v/>
      </c>
      <c r="N43" s="5">
        <f>IFERROR(M43/K43,0)</f>
        <v/>
      </c>
    </row>
    <row r="44">
      <c r="A44" t="inlineStr">
        <is>
          <t>ORD-0043</t>
        </is>
      </c>
      <c r="B44" s="2" t="n">
        <v>45857</v>
      </c>
      <c r="C44" t="inlineStr">
        <is>
          <t>East</t>
        </is>
      </c>
      <c r="D44" t="inlineStr">
        <is>
          <t>Retail</t>
        </is>
      </c>
      <c r="E44" t="inlineStr">
        <is>
          <t>Laptop Stand</t>
        </is>
      </c>
      <c r="F44" t="inlineStr">
        <is>
          <t>Accessories</t>
        </is>
      </c>
      <c r="G44" t="n">
        <v>5</v>
      </c>
      <c r="H44" s="3" t="n">
        <v>49.5</v>
      </c>
      <c r="I44" s="4" t="n">
        <v>0.1</v>
      </c>
      <c r="J44" s="3" t="n">
        <v>32</v>
      </c>
      <c r="K44" s="3">
        <f>G44*H44</f>
        <v/>
      </c>
      <c r="L44" s="3">
        <f>G44*J44</f>
        <v/>
      </c>
      <c r="M44" s="3">
        <f>K44-L44</f>
        <v/>
      </c>
      <c r="N44" s="5">
        <f>IFERROR(M44/K44,0)</f>
        <v/>
      </c>
    </row>
    <row r="45">
      <c r="A45" t="inlineStr">
        <is>
          <t>ORD-0044</t>
        </is>
      </c>
      <c r="B45" s="2" t="n">
        <v>45737</v>
      </c>
      <c r="C45" t="inlineStr">
        <is>
          <t>South</t>
        </is>
      </c>
      <c r="D45" t="inlineStr">
        <is>
          <t>Online</t>
        </is>
      </c>
      <c r="E45" t="inlineStr">
        <is>
          <t>Desk Lamp</t>
        </is>
      </c>
      <c r="F45" t="inlineStr">
        <is>
          <t>Office</t>
        </is>
      </c>
      <c r="G45" t="n">
        <v>4</v>
      </c>
      <c r="H45" s="3" t="n">
        <v>39.9</v>
      </c>
      <c r="I45" s="4" t="n">
        <v>0.05</v>
      </c>
      <c r="J45" s="3" t="n">
        <v>24</v>
      </c>
      <c r="K45" s="3">
        <f>G45*H45</f>
        <v/>
      </c>
      <c r="L45" s="3">
        <f>G45*J45</f>
        <v/>
      </c>
      <c r="M45" s="3">
        <f>K45-L45</f>
        <v/>
      </c>
      <c r="N45" s="5">
        <f>IFERROR(M45/K45,0)</f>
        <v/>
      </c>
    </row>
    <row r="46">
      <c r="A46" t="inlineStr">
        <is>
          <t>ORD-0045</t>
        </is>
      </c>
      <c r="B46" s="2" t="n">
        <v>45818</v>
      </c>
      <c r="C46" t="inlineStr">
        <is>
          <t>West</t>
        </is>
      </c>
      <c r="D46" t="inlineStr">
        <is>
          <t>Corporate</t>
        </is>
      </c>
      <c r="E46" t="inlineStr">
        <is>
          <t>Laptop Stand</t>
        </is>
      </c>
      <c r="F46" t="inlineStr">
        <is>
          <t>Accessories</t>
        </is>
      </c>
      <c r="G46" t="n">
        <v>1</v>
      </c>
      <c r="H46" s="3" t="n">
        <v>55</v>
      </c>
      <c r="I46" s="4" t="n">
        <v>0</v>
      </c>
      <c r="J46" s="3" t="n">
        <v>32</v>
      </c>
      <c r="K46" s="3">
        <f>G46*H46</f>
        <v/>
      </c>
      <c r="L46" s="3">
        <f>G46*J46</f>
        <v/>
      </c>
      <c r="M46" s="3">
        <f>K46-L46</f>
        <v/>
      </c>
      <c r="N46" s="5">
        <f>IFERROR(M46/K46,0)</f>
        <v/>
      </c>
    </row>
    <row r="47">
      <c r="A47" t="inlineStr">
        <is>
          <t>ORD-0046</t>
        </is>
      </c>
      <c r="B47" s="2" t="n">
        <v>45687</v>
      </c>
      <c r="C47" t="inlineStr">
        <is>
          <t>North</t>
        </is>
      </c>
      <c r="D47" t="inlineStr">
        <is>
          <t>Corporate</t>
        </is>
      </c>
      <c r="E47" t="inlineStr">
        <is>
          <t>Keyboard</t>
        </is>
      </c>
      <c r="F47" t="inlineStr">
        <is>
          <t>Accessories</t>
        </is>
      </c>
      <c r="G47" t="n">
        <v>2</v>
      </c>
      <c r="H47" s="3" t="n">
        <v>39</v>
      </c>
      <c r="I47" s="4" t="n">
        <v>0</v>
      </c>
      <c r="J47" s="3" t="n">
        <v>22</v>
      </c>
      <c r="K47" s="3">
        <f>G47*H47</f>
        <v/>
      </c>
      <c r="L47" s="3">
        <f>G47*J47</f>
        <v/>
      </c>
      <c r="M47" s="3">
        <f>K47-L47</f>
        <v/>
      </c>
      <c r="N47" s="5">
        <f>IFERROR(M47/K47,0)</f>
        <v/>
      </c>
    </row>
    <row r="48">
      <c r="A48" t="inlineStr">
        <is>
          <t>ORD-0047</t>
        </is>
      </c>
      <c r="B48" s="2" t="n">
        <v>46003</v>
      </c>
      <c r="C48" t="inlineStr">
        <is>
          <t>North</t>
        </is>
      </c>
      <c r="D48" t="inlineStr">
        <is>
          <t>Corporate</t>
        </is>
      </c>
      <c r="E48" t="inlineStr">
        <is>
          <t>Wireless Mouse</t>
        </is>
      </c>
      <c r="F48" t="inlineStr">
        <is>
          <t>Accessories</t>
        </is>
      </c>
      <c r="G48" t="n">
        <v>4</v>
      </c>
      <c r="H48" s="3" t="n">
        <v>22.5</v>
      </c>
      <c r="I48" s="4" t="n">
        <v>0.1</v>
      </c>
      <c r="J48" s="3" t="n">
        <v>14</v>
      </c>
      <c r="K48" s="3">
        <f>G48*H48</f>
        <v/>
      </c>
      <c r="L48" s="3">
        <f>G48*J48</f>
        <v/>
      </c>
      <c r="M48" s="3">
        <f>K48-L48</f>
        <v/>
      </c>
      <c r="N48" s="5">
        <f>IFERROR(M48/K48,0)</f>
        <v/>
      </c>
    </row>
    <row r="49">
      <c r="A49" t="inlineStr">
        <is>
          <t>ORD-0048</t>
        </is>
      </c>
      <c r="B49" s="2" t="n">
        <v>45954</v>
      </c>
      <c r="C49" t="inlineStr">
        <is>
          <t>North</t>
        </is>
      </c>
      <c r="D49" t="inlineStr">
        <is>
          <t>Retail</t>
        </is>
      </c>
      <c r="E49" t="inlineStr">
        <is>
          <t>Monitor</t>
        </is>
      </c>
      <c r="F49" t="inlineStr">
        <is>
          <t>Electronics</t>
        </is>
      </c>
      <c r="G49" t="n">
        <v>1</v>
      </c>
      <c r="H49" s="3" t="n">
        <v>187</v>
      </c>
      <c r="I49" s="4" t="n">
        <v>0.15</v>
      </c>
      <c r="J49" s="3" t="n">
        <v>145</v>
      </c>
      <c r="K49" s="3">
        <f>G49*H49</f>
        <v/>
      </c>
      <c r="L49" s="3">
        <f>G49*J49</f>
        <v/>
      </c>
      <c r="M49" s="3">
        <f>K49-L49</f>
        <v/>
      </c>
      <c r="N49" s="5">
        <f>IFERROR(M49/K49,0)</f>
        <v/>
      </c>
    </row>
    <row r="50">
      <c r="A50" t="inlineStr">
        <is>
          <t>ORD-0049</t>
        </is>
      </c>
      <c r="B50" s="2" t="n">
        <v>45791</v>
      </c>
      <c r="C50" t="inlineStr">
        <is>
          <t>South</t>
        </is>
      </c>
      <c r="D50" t="inlineStr">
        <is>
          <t>Retail</t>
        </is>
      </c>
      <c r="E50" t="inlineStr">
        <is>
          <t>Headphones</t>
        </is>
      </c>
      <c r="F50" t="inlineStr">
        <is>
          <t>Electronics</t>
        </is>
      </c>
      <c r="G50" t="n">
        <v>4</v>
      </c>
      <c r="H50" s="3" t="n">
        <v>75.05</v>
      </c>
      <c r="I50" s="4" t="n">
        <v>0.05</v>
      </c>
      <c r="J50" s="3" t="n">
        <v>48</v>
      </c>
      <c r="K50" s="3">
        <f>G50*H50</f>
        <v/>
      </c>
      <c r="L50" s="3">
        <f>G50*J50</f>
        <v/>
      </c>
      <c r="M50" s="3">
        <f>K50-L50</f>
        <v/>
      </c>
      <c r="N50" s="5">
        <f>IFERROR(M50/K50,0)</f>
        <v/>
      </c>
    </row>
    <row r="51">
      <c r="A51" t="inlineStr">
        <is>
          <t>ORD-0050</t>
        </is>
      </c>
      <c r="B51" s="2" t="n">
        <v>45725</v>
      </c>
      <c r="C51" t="inlineStr">
        <is>
          <t>East</t>
        </is>
      </c>
      <c r="D51" t="inlineStr">
        <is>
          <t>Online</t>
        </is>
      </c>
      <c r="E51" t="inlineStr">
        <is>
          <t>Notebook Set</t>
        </is>
      </c>
      <c r="F51" t="inlineStr">
        <is>
          <t>Stationery</t>
        </is>
      </c>
      <c r="G51" t="n">
        <v>5</v>
      </c>
      <c r="H51" s="3" t="n">
        <v>10.8</v>
      </c>
      <c r="I51" s="4" t="n">
        <v>0.1</v>
      </c>
      <c r="J51" s="3" t="n">
        <v>5</v>
      </c>
      <c r="K51" s="3">
        <f>G51*H51</f>
        <v/>
      </c>
      <c r="L51" s="3">
        <f>G51*J51</f>
        <v/>
      </c>
      <c r="M51" s="3">
        <f>K51-L51</f>
        <v/>
      </c>
      <c r="N51" s="5">
        <f>IFERROR(M51/K51,0)</f>
        <v/>
      </c>
    </row>
    <row r="52">
      <c r="A52" t="inlineStr">
        <is>
          <t>ORD-0051</t>
        </is>
      </c>
      <c r="B52" s="2" t="n">
        <v>45892</v>
      </c>
      <c r="C52" t="inlineStr">
        <is>
          <t>South</t>
        </is>
      </c>
      <c r="D52" t="inlineStr">
        <is>
          <t>Corporate</t>
        </is>
      </c>
      <c r="E52" t="inlineStr">
        <is>
          <t>Laptop Stand</t>
        </is>
      </c>
      <c r="F52" t="inlineStr">
        <is>
          <t>Accessories</t>
        </is>
      </c>
      <c r="G52" t="n">
        <v>2</v>
      </c>
      <c r="H52" s="3" t="n">
        <v>55</v>
      </c>
      <c r="I52" s="4" t="n">
        <v>0</v>
      </c>
      <c r="J52" s="3" t="n">
        <v>32</v>
      </c>
      <c r="K52" s="3">
        <f>G52*H52</f>
        <v/>
      </c>
      <c r="L52" s="3">
        <f>G52*J52</f>
        <v/>
      </c>
      <c r="M52" s="3">
        <f>K52-L52</f>
        <v/>
      </c>
      <c r="N52" s="5">
        <f>IFERROR(M52/K52,0)</f>
        <v/>
      </c>
    </row>
    <row r="53">
      <c r="A53" t="inlineStr">
        <is>
          <t>ORD-0052</t>
        </is>
      </c>
      <c r="B53" s="2" t="n">
        <v>45725</v>
      </c>
      <c r="C53" t="inlineStr">
        <is>
          <t>South</t>
        </is>
      </c>
      <c r="D53" t="inlineStr">
        <is>
          <t>Retail</t>
        </is>
      </c>
      <c r="E53" t="inlineStr">
        <is>
          <t>USB-C Hub</t>
        </is>
      </c>
      <c r="F53" t="inlineStr">
        <is>
          <t>Electronics</t>
        </is>
      </c>
      <c r="G53" t="n">
        <v>6</v>
      </c>
      <c r="H53" s="3" t="n">
        <v>49</v>
      </c>
      <c r="I53" s="4" t="n">
        <v>0</v>
      </c>
      <c r="J53" s="3" t="n">
        <v>28</v>
      </c>
      <c r="K53" s="3">
        <f>G53*H53</f>
        <v/>
      </c>
      <c r="L53" s="3">
        <f>G53*J53</f>
        <v/>
      </c>
      <c r="M53" s="3">
        <f>K53-L53</f>
        <v/>
      </c>
      <c r="N53" s="5">
        <f>IFERROR(M53/K53,0)</f>
        <v/>
      </c>
    </row>
    <row r="54">
      <c r="A54" t="inlineStr">
        <is>
          <t>ORD-0053</t>
        </is>
      </c>
      <c r="B54" s="2" t="n">
        <v>45738</v>
      </c>
      <c r="C54" t="inlineStr">
        <is>
          <t>East</t>
        </is>
      </c>
      <c r="D54" t="inlineStr">
        <is>
          <t>Corporate</t>
        </is>
      </c>
      <c r="E54" t="inlineStr">
        <is>
          <t>USB-C Hub</t>
        </is>
      </c>
      <c r="F54" t="inlineStr">
        <is>
          <t>Electronics</t>
        </is>
      </c>
      <c r="G54" t="n">
        <v>8</v>
      </c>
      <c r="H54" s="3" t="n">
        <v>41.65</v>
      </c>
      <c r="I54" s="4" t="n">
        <v>0.15</v>
      </c>
      <c r="J54" s="3" t="n">
        <v>28</v>
      </c>
      <c r="K54" s="3">
        <f>G54*H54</f>
        <v/>
      </c>
      <c r="L54" s="3">
        <f>G54*J54</f>
        <v/>
      </c>
      <c r="M54" s="3">
        <f>K54-L54</f>
        <v/>
      </c>
      <c r="N54" s="5">
        <f>IFERROR(M54/K54,0)</f>
        <v/>
      </c>
    </row>
    <row r="55">
      <c r="A55" t="inlineStr">
        <is>
          <t>ORD-0054</t>
        </is>
      </c>
      <c r="B55" s="2" t="n">
        <v>45999</v>
      </c>
      <c r="C55" t="inlineStr">
        <is>
          <t>South</t>
        </is>
      </c>
      <c r="D55" t="inlineStr">
        <is>
          <t>Retail</t>
        </is>
      </c>
      <c r="E55" t="inlineStr">
        <is>
          <t>Laptop Stand</t>
        </is>
      </c>
      <c r="F55" t="inlineStr">
        <is>
          <t>Accessories</t>
        </is>
      </c>
      <c r="G55" t="n">
        <v>5</v>
      </c>
      <c r="H55" s="3" t="n">
        <v>55</v>
      </c>
      <c r="I55" s="4" t="n">
        <v>0</v>
      </c>
      <c r="J55" s="3" t="n">
        <v>32</v>
      </c>
      <c r="K55" s="3">
        <f>G55*H55</f>
        <v/>
      </c>
      <c r="L55" s="3">
        <f>G55*J55</f>
        <v/>
      </c>
      <c r="M55" s="3">
        <f>K55-L55</f>
        <v/>
      </c>
      <c r="N55" s="5">
        <f>IFERROR(M55/K55,0)</f>
        <v/>
      </c>
    </row>
    <row r="56">
      <c r="A56" t="inlineStr">
        <is>
          <t>ORD-0055</t>
        </is>
      </c>
      <c r="B56" s="2" t="n">
        <v>45712</v>
      </c>
      <c r="C56" t="inlineStr">
        <is>
          <t>East</t>
        </is>
      </c>
      <c r="D56" t="inlineStr">
        <is>
          <t>Corporate</t>
        </is>
      </c>
      <c r="E56" t="inlineStr">
        <is>
          <t>Wireless Mouse</t>
        </is>
      </c>
      <c r="F56" t="inlineStr">
        <is>
          <t>Accessories</t>
        </is>
      </c>
      <c r="G56" t="n">
        <v>3</v>
      </c>
      <c r="H56" s="3" t="n">
        <v>23.75</v>
      </c>
      <c r="I56" s="4" t="n">
        <v>0.05</v>
      </c>
      <c r="J56" s="3" t="n">
        <v>14</v>
      </c>
      <c r="K56" s="3">
        <f>G56*H56</f>
        <v/>
      </c>
      <c r="L56" s="3">
        <f>G56*J56</f>
        <v/>
      </c>
      <c r="M56" s="3">
        <f>K56-L56</f>
        <v/>
      </c>
      <c r="N56" s="5">
        <f>IFERROR(M56/K56,0)</f>
        <v/>
      </c>
    </row>
    <row r="57">
      <c r="A57" t="inlineStr">
        <is>
          <t>ORD-0056</t>
        </is>
      </c>
      <c r="B57" s="2" t="n">
        <v>45833</v>
      </c>
      <c r="C57" t="inlineStr">
        <is>
          <t>West</t>
        </is>
      </c>
      <c r="D57" t="inlineStr">
        <is>
          <t>Retail</t>
        </is>
      </c>
      <c r="E57" t="inlineStr">
        <is>
          <t>Monitor</t>
        </is>
      </c>
      <c r="F57" t="inlineStr">
        <is>
          <t>Electronics</t>
        </is>
      </c>
      <c r="G57" t="n">
        <v>4</v>
      </c>
      <c r="H57" s="3" t="n">
        <v>209</v>
      </c>
      <c r="I57" s="4" t="n">
        <v>0.05</v>
      </c>
      <c r="J57" s="3" t="n">
        <v>145</v>
      </c>
      <c r="K57" s="3">
        <f>G57*H57</f>
        <v/>
      </c>
      <c r="L57" s="3">
        <f>G57*J57</f>
        <v/>
      </c>
      <c r="M57" s="3">
        <f>K57-L57</f>
        <v/>
      </c>
      <c r="N57" s="5">
        <f>IFERROR(M57/K57,0)</f>
        <v/>
      </c>
    </row>
    <row r="58">
      <c r="A58" t="inlineStr">
        <is>
          <t>ORD-0057</t>
        </is>
      </c>
      <c r="B58" s="2" t="n">
        <v>45705</v>
      </c>
      <c r="C58" t="inlineStr">
        <is>
          <t>North</t>
        </is>
      </c>
      <c r="D58" t="inlineStr">
        <is>
          <t>Online</t>
        </is>
      </c>
      <c r="E58" t="inlineStr">
        <is>
          <t>Laptop Stand</t>
        </is>
      </c>
      <c r="F58" t="inlineStr">
        <is>
          <t>Accessories</t>
        </is>
      </c>
      <c r="G58" t="n">
        <v>7</v>
      </c>
      <c r="H58" s="3" t="n">
        <v>52.25</v>
      </c>
      <c r="I58" s="4" t="n">
        <v>0.05</v>
      </c>
      <c r="J58" s="3" t="n">
        <v>32</v>
      </c>
      <c r="K58" s="3">
        <f>G58*H58</f>
        <v/>
      </c>
      <c r="L58" s="3">
        <f>G58*J58</f>
        <v/>
      </c>
      <c r="M58" s="3">
        <f>K58-L58</f>
        <v/>
      </c>
      <c r="N58" s="5">
        <f>IFERROR(M58/K58,0)</f>
        <v/>
      </c>
    </row>
    <row r="59">
      <c r="A59" t="inlineStr">
        <is>
          <t>ORD-0058</t>
        </is>
      </c>
      <c r="B59" s="2" t="n">
        <v>45724</v>
      </c>
      <c r="C59" t="inlineStr">
        <is>
          <t>West</t>
        </is>
      </c>
      <c r="D59" t="inlineStr">
        <is>
          <t>Corporate</t>
        </is>
      </c>
      <c r="E59" t="inlineStr">
        <is>
          <t>Headphones</t>
        </is>
      </c>
      <c r="F59" t="inlineStr">
        <is>
          <t>Electronics</t>
        </is>
      </c>
      <c r="G59" t="n">
        <v>5</v>
      </c>
      <c r="H59" s="3" t="n">
        <v>79</v>
      </c>
      <c r="I59" s="4" t="n">
        <v>0</v>
      </c>
      <c r="J59" s="3" t="n">
        <v>48</v>
      </c>
      <c r="K59" s="3">
        <f>G59*H59</f>
        <v/>
      </c>
      <c r="L59" s="3">
        <f>G59*J59</f>
        <v/>
      </c>
      <c r="M59" s="3">
        <f>K59-L59</f>
        <v/>
      </c>
      <c r="N59" s="5">
        <f>IFERROR(M59/K59,0)</f>
        <v/>
      </c>
    </row>
    <row r="60">
      <c r="A60" t="inlineStr">
        <is>
          <t>ORD-0059</t>
        </is>
      </c>
      <c r="B60" s="2" t="n">
        <v>45945</v>
      </c>
      <c r="C60" t="inlineStr">
        <is>
          <t>North</t>
        </is>
      </c>
      <c r="D60" t="inlineStr">
        <is>
          <t>Corporate</t>
        </is>
      </c>
      <c r="E60" t="inlineStr">
        <is>
          <t>Notebook Set</t>
        </is>
      </c>
      <c r="F60" t="inlineStr">
        <is>
          <t>Stationery</t>
        </is>
      </c>
      <c r="G60" t="n">
        <v>1</v>
      </c>
      <c r="H60" s="3" t="n">
        <v>12</v>
      </c>
      <c r="I60" s="4" t="n">
        <v>0</v>
      </c>
      <c r="J60" s="3" t="n">
        <v>5</v>
      </c>
      <c r="K60" s="3">
        <f>G60*H60</f>
        <v/>
      </c>
      <c r="L60" s="3">
        <f>G60*J60</f>
        <v/>
      </c>
      <c r="M60" s="3">
        <f>K60-L60</f>
        <v/>
      </c>
      <c r="N60" s="5">
        <f>IFERROR(M60/K60,0)</f>
        <v/>
      </c>
    </row>
    <row r="61">
      <c r="A61" t="inlineStr">
        <is>
          <t>ORD-0060</t>
        </is>
      </c>
      <c r="B61" s="2" t="n">
        <v>45937</v>
      </c>
      <c r="C61" t="inlineStr">
        <is>
          <t>South</t>
        </is>
      </c>
      <c r="D61" t="inlineStr">
        <is>
          <t>Retail</t>
        </is>
      </c>
      <c r="E61" t="inlineStr">
        <is>
          <t>Keyboard</t>
        </is>
      </c>
      <c r="F61" t="inlineStr">
        <is>
          <t>Accessories</t>
        </is>
      </c>
      <c r="G61" t="n">
        <v>1</v>
      </c>
      <c r="H61" s="3" t="n">
        <v>37.05</v>
      </c>
      <c r="I61" s="4" t="n">
        <v>0.05</v>
      </c>
      <c r="J61" s="3" t="n">
        <v>22</v>
      </c>
      <c r="K61" s="3">
        <f>G61*H61</f>
        <v/>
      </c>
      <c r="L61" s="3">
        <f>G61*J61</f>
        <v/>
      </c>
      <c r="M61" s="3">
        <f>K61-L61</f>
        <v/>
      </c>
      <c r="N61" s="5">
        <f>IFERROR(M61/K61,0)</f>
        <v/>
      </c>
    </row>
    <row r="62">
      <c r="A62" t="inlineStr">
        <is>
          <t>ORD-0061</t>
        </is>
      </c>
      <c r="B62" s="2" t="n">
        <v>45679</v>
      </c>
      <c r="C62" t="inlineStr">
        <is>
          <t>North</t>
        </is>
      </c>
      <c r="D62" t="inlineStr">
        <is>
          <t>Retail</t>
        </is>
      </c>
      <c r="E62" t="inlineStr">
        <is>
          <t>Keyboard</t>
        </is>
      </c>
      <c r="F62" t="inlineStr">
        <is>
          <t>Accessories</t>
        </is>
      </c>
      <c r="G62" t="n">
        <v>5</v>
      </c>
      <c r="H62" s="3" t="n">
        <v>37.05</v>
      </c>
      <c r="I62" s="4" t="n">
        <v>0.05</v>
      </c>
      <c r="J62" s="3" t="n">
        <v>22</v>
      </c>
      <c r="K62" s="3">
        <f>G62*H62</f>
        <v/>
      </c>
      <c r="L62" s="3">
        <f>G62*J62</f>
        <v/>
      </c>
      <c r="M62" s="3">
        <f>K62-L62</f>
        <v/>
      </c>
      <c r="N62" s="5">
        <f>IFERROR(M62/K62,0)</f>
        <v/>
      </c>
    </row>
    <row r="63">
      <c r="A63" t="inlineStr">
        <is>
          <t>ORD-0062</t>
        </is>
      </c>
      <c r="B63" s="2" t="n">
        <v>46007</v>
      </c>
      <c r="C63" t="inlineStr">
        <is>
          <t>East</t>
        </is>
      </c>
      <c r="D63" t="inlineStr">
        <is>
          <t>Corporate</t>
        </is>
      </c>
      <c r="E63" t="inlineStr">
        <is>
          <t>Monitor</t>
        </is>
      </c>
      <c r="F63" t="inlineStr">
        <is>
          <t>Electronics</t>
        </is>
      </c>
      <c r="G63" t="n">
        <v>4</v>
      </c>
      <c r="H63" s="3" t="n">
        <v>220</v>
      </c>
      <c r="I63" s="4" t="n">
        <v>0</v>
      </c>
      <c r="J63" s="3" t="n">
        <v>145</v>
      </c>
      <c r="K63" s="3">
        <f>G63*H63</f>
        <v/>
      </c>
      <c r="L63" s="3">
        <f>G63*J63</f>
        <v/>
      </c>
      <c r="M63" s="3">
        <f>K63-L63</f>
        <v/>
      </c>
      <c r="N63" s="5">
        <f>IFERROR(M63/K63,0)</f>
        <v/>
      </c>
    </row>
    <row r="64">
      <c r="A64" t="inlineStr">
        <is>
          <t>ORD-0063</t>
        </is>
      </c>
      <c r="B64" s="2" t="n">
        <v>45975</v>
      </c>
      <c r="C64" t="inlineStr">
        <is>
          <t>South</t>
        </is>
      </c>
      <c r="D64" t="inlineStr">
        <is>
          <t>Online</t>
        </is>
      </c>
      <c r="E64" t="inlineStr">
        <is>
          <t>Notebook Set</t>
        </is>
      </c>
      <c r="F64" t="inlineStr">
        <is>
          <t>Stationery</t>
        </is>
      </c>
      <c r="G64" t="n">
        <v>3</v>
      </c>
      <c r="H64" s="3" t="n">
        <v>12</v>
      </c>
      <c r="I64" s="4" t="n">
        <v>0</v>
      </c>
      <c r="J64" s="3" t="n">
        <v>5</v>
      </c>
      <c r="K64" s="3">
        <f>G64*H64</f>
        <v/>
      </c>
      <c r="L64" s="3">
        <f>G64*J64</f>
        <v/>
      </c>
      <c r="M64" s="3">
        <f>K64-L64</f>
        <v/>
      </c>
      <c r="N64" s="5">
        <f>IFERROR(M64/K64,0)</f>
        <v/>
      </c>
    </row>
    <row r="65">
      <c r="A65" t="inlineStr">
        <is>
          <t>ORD-0064</t>
        </is>
      </c>
      <c r="B65" s="2" t="n">
        <v>45670</v>
      </c>
      <c r="C65" t="inlineStr">
        <is>
          <t>West</t>
        </is>
      </c>
      <c r="D65" t="inlineStr">
        <is>
          <t>Corporate</t>
        </is>
      </c>
      <c r="E65" t="inlineStr">
        <is>
          <t>Notebook Set</t>
        </is>
      </c>
      <c r="F65" t="inlineStr">
        <is>
          <t>Stationery</t>
        </is>
      </c>
      <c r="G65" t="n">
        <v>3</v>
      </c>
      <c r="H65" s="3" t="n">
        <v>11.4</v>
      </c>
      <c r="I65" s="4" t="n">
        <v>0.05</v>
      </c>
      <c r="J65" s="3" t="n">
        <v>5</v>
      </c>
      <c r="K65" s="3">
        <f>G65*H65</f>
        <v/>
      </c>
      <c r="L65" s="3">
        <f>G65*J65</f>
        <v/>
      </c>
      <c r="M65" s="3">
        <f>K65-L65</f>
        <v/>
      </c>
      <c r="N65" s="5">
        <f>IFERROR(M65/K65,0)</f>
        <v/>
      </c>
    </row>
    <row r="66">
      <c r="A66" t="inlineStr">
        <is>
          <t>ORD-0065</t>
        </is>
      </c>
      <c r="B66" s="2" t="n">
        <v>45794</v>
      </c>
      <c r="C66" t="inlineStr">
        <is>
          <t>West</t>
        </is>
      </c>
      <c r="D66" t="inlineStr">
        <is>
          <t>Online</t>
        </is>
      </c>
      <c r="E66" t="inlineStr">
        <is>
          <t>Monitor</t>
        </is>
      </c>
      <c r="F66" t="inlineStr">
        <is>
          <t>Electronics</t>
        </is>
      </c>
      <c r="G66" t="n">
        <v>3</v>
      </c>
      <c r="H66" s="3" t="n">
        <v>220</v>
      </c>
      <c r="I66" s="4" t="n">
        <v>0</v>
      </c>
      <c r="J66" s="3" t="n">
        <v>145</v>
      </c>
      <c r="K66" s="3">
        <f>G66*H66</f>
        <v/>
      </c>
      <c r="L66" s="3">
        <f>G66*J66</f>
        <v/>
      </c>
      <c r="M66" s="3">
        <f>K66-L66</f>
        <v/>
      </c>
      <c r="N66" s="5">
        <f>IFERROR(M66/K66,0)</f>
        <v/>
      </c>
    </row>
    <row r="67">
      <c r="A67" t="inlineStr">
        <is>
          <t>ORD-0066</t>
        </is>
      </c>
      <c r="B67" s="2" t="n">
        <v>45771</v>
      </c>
      <c r="C67" t="inlineStr">
        <is>
          <t>East</t>
        </is>
      </c>
      <c r="D67" t="inlineStr">
        <is>
          <t>Retail</t>
        </is>
      </c>
      <c r="E67" t="inlineStr">
        <is>
          <t>Desk Lamp</t>
        </is>
      </c>
      <c r="F67" t="inlineStr">
        <is>
          <t>Office</t>
        </is>
      </c>
      <c r="G67" t="n">
        <v>4</v>
      </c>
      <c r="H67" s="3" t="n">
        <v>37.8</v>
      </c>
      <c r="I67" s="4" t="n">
        <v>0.1</v>
      </c>
      <c r="J67" s="3" t="n">
        <v>24</v>
      </c>
      <c r="K67" s="3">
        <f>G67*H67</f>
        <v/>
      </c>
      <c r="L67" s="3">
        <f>G67*J67</f>
        <v/>
      </c>
      <c r="M67" s="3">
        <f>K67-L67</f>
        <v/>
      </c>
      <c r="N67" s="5">
        <f>IFERROR(M67/K67,0)</f>
        <v/>
      </c>
    </row>
    <row r="68">
      <c r="A68" t="inlineStr">
        <is>
          <t>ORD-0067</t>
        </is>
      </c>
      <c r="B68" s="2" t="n">
        <v>45772</v>
      </c>
      <c r="C68" t="inlineStr">
        <is>
          <t>West</t>
        </is>
      </c>
      <c r="D68" t="inlineStr">
        <is>
          <t>Retail</t>
        </is>
      </c>
      <c r="E68" t="inlineStr">
        <is>
          <t>Monitor</t>
        </is>
      </c>
      <c r="F68" t="inlineStr">
        <is>
          <t>Electronics</t>
        </is>
      </c>
      <c r="G68" t="n">
        <v>1</v>
      </c>
      <c r="H68" s="3" t="n">
        <v>220</v>
      </c>
      <c r="I68" s="4" t="n">
        <v>0</v>
      </c>
      <c r="J68" s="3" t="n">
        <v>145</v>
      </c>
      <c r="K68" s="3">
        <f>G68*H68</f>
        <v/>
      </c>
      <c r="L68" s="3">
        <f>G68*J68</f>
        <v/>
      </c>
      <c r="M68" s="3">
        <f>K68-L68</f>
        <v/>
      </c>
      <c r="N68" s="5">
        <f>IFERROR(M68/K68,0)</f>
        <v/>
      </c>
    </row>
    <row r="69">
      <c r="A69" t="inlineStr">
        <is>
          <t>ORD-0068</t>
        </is>
      </c>
      <c r="B69" s="2" t="n">
        <v>45693</v>
      </c>
      <c r="C69" t="inlineStr">
        <is>
          <t>West</t>
        </is>
      </c>
      <c r="D69" t="inlineStr">
        <is>
          <t>Corporate</t>
        </is>
      </c>
      <c r="E69" t="inlineStr">
        <is>
          <t>USB-C Hub</t>
        </is>
      </c>
      <c r="F69" t="inlineStr">
        <is>
          <t>Electronics</t>
        </is>
      </c>
      <c r="G69" t="n">
        <v>5</v>
      </c>
      <c r="H69" s="3" t="n">
        <v>46.55</v>
      </c>
      <c r="I69" s="4" t="n">
        <v>0.05</v>
      </c>
      <c r="J69" s="3" t="n">
        <v>28</v>
      </c>
      <c r="K69" s="3">
        <f>G69*H69</f>
        <v/>
      </c>
      <c r="L69" s="3">
        <f>G69*J69</f>
        <v/>
      </c>
      <c r="M69" s="3">
        <f>K69-L69</f>
        <v/>
      </c>
      <c r="N69" s="5">
        <f>IFERROR(M69/K69,0)</f>
        <v/>
      </c>
    </row>
    <row r="70">
      <c r="A70" t="inlineStr">
        <is>
          <t>ORD-0069</t>
        </is>
      </c>
      <c r="B70" s="2" t="n">
        <v>45672</v>
      </c>
      <c r="C70" t="inlineStr">
        <is>
          <t>South</t>
        </is>
      </c>
      <c r="D70" t="inlineStr">
        <is>
          <t>Corporate</t>
        </is>
      </c>
      <c r="E70" t="inlineStr">
        <is>
          <t>Headphones</t>
        </is>
      </c>
      <c r="F70" t="inlineStr">
        <is>
          <t>Electronics</t>
        </is>
      </c>
      <c r="G70" t="n">
        <v>2</v>
      </c>
      <c r="H70" s="3" t="n">
        <v>75.05</v>
      </c>
      <c r="I70" s="4" t="n">
        <v>0.05</v>
      </c>
      <c r="J70" s="3" t="n">
        <v>48</v>
      </c>
      <c r="K70" s="3">
        <f>G70*H70</f>
        <v/>
      </c>
      <c r="L70" s="3">
        <f>G70*J70</f>
        <v/>
      </c>
      <c r="M70" s="3">
        <f>K70-L70</f>
        <v/>
      </c>
      <c r="N70" s="5">
        <f>IFERROR(M70/K70,0)</f>
        <v/>
      </c>
    </row>
    <row r="71">
      <c r="A71" t="inlineStr">
        <is>
          <t>ORD-0070</t>
        </is>
      </c>
      <c r="B71" s="2" t="n">
        <v>45677</v>
      </c>
      <c r="C71" t="inlineStr">
        <is>
          <t>West</t>
        </is>
      </c>
      <c r="D71" t="inlineStr">
        <is>
          <t>Retail</t>
        </is>
      </c>
      <c r="E71" t="inlineStr">
        <is>
          <t>USB-C Hub</t>
        </is>
      </c>
      <c r="F71" t="inlineStr">
        <is>
          <t>Electronics</t>
        </is>
      </c>
      <c r="G71" t="n">
        <v>2</v>
      </c>
      <c r="H71" s="3" t="n">
        <v>41.65</v>
      </c>
      <c r="I71" s="4" t="n">
        <v>0.15</v>
      </c>
      <c r="J71" s="3" t="n">
        <v>28</v>
      </c>
      <c r="K71" s="3">
        <f>G71*H71</f>
        <v/>
      </c>
      <c r="L71" s="3">
        <f>G71*J71</f>
        <v/>
      </c>
      <c r="M71" s="3">
        <f>K71-L71</f>
        <v/>
      </c>
      <c r="N71" s="5">
        <f>IFERROR(M71/K71,0)</f>
        <v/>
      </c>
    </row>
    <row r="72">
      <c r="A72" t="inlineStr">
        <is>
          <t>ORD-0071</t>
        </is>
      </c>
      <c r="B72" s="2" t="n">
        <v>45881</v>
      </c>
      <c r="C72" t="inlineStr">
        <is>
          <t>South</t>
        </is>
      </c>
      <c r="D72" t="inlineStr">
        <is>
          <t>Retail</t>
        </is>
      </c>
      <c r="E72" t="inlineStr">
        <is>
          <t>Headphones</t>
        </is>
      </c>
      <c r="F72" t="inlineStr">
        <is>
          <t>Electronics</t>
        </is>
      </c>
      <c r="G72" t="n">
        <v>2</v>
      </c>
      <c r="H72" s="3" t="n">
        <v>71.09999999999999</v>
      </c>
      <c r="I72" s="4" t="n">
        <v>0.1</v>
      </c>
      <c r="J72" s="3" t="n">
        <v>48</v>
      </c>
      <c r="K72" s="3">
        <f>G72*H72</f>
        <v/>
      </c>
      <c r="L72" s="3">
        <f>G72*J72</f>
        <v/>
      </c>
      <c r="M72" s="3">
        <f>K72-L72</f>
        <v/>
      </c>
      <c r="N72" s="5">
        <f>IFERROR(M72/K72,0)</f>
        <v/>
      </c>
    </row>
    <row r="73">
      <c r="A73" t="inlineStr">
        <is>
          <t>ORD-0072</t>
        </is>
      </c>
      <c r="B73" s="2" t="n">
        <v>46020</v>
      </c>
      <c r="C73" t="inlineStr">
        <is>
          <t>South</t>
        </is>
      </c>
      <c r="D73" t="inlineStr">
        <is>
          <t>Retail</t>
        </is>
      </c>
      <c r="E73" t="inlineStr">
        <is>
          <t>Laptop Stand</t>
        </is>
      </c>
      <c r="F73" t="inlineStr">
        <is>
          <t>Accessories</t>
        </is>
      </c>
      <c r="G73" t="n">
        <v>7</v>
      </c>
      <c r="H73" s="3" t="n">
        <v>55</v>
      </c>
      <c r="I73" s="4" t="n">
        <v>0</v>
      </c>
      <c r="J73" s="3" t="n">
        <v>32</v>
      </c>
      <c r="K73" s="3">
        <f>G73*H73</f>
        <v/>
      </c>
      <c r="L73" s="3">
        <f>G73*J73</f>
        <v/>
      </c>
      <c r="M73" s="3">
        <f>K73-L73</f>
        <v/>
      </c>
      <c r="N73" s="5">
        <f>IFERROR(M73/K73,0)</f>
        <v/>
      </c>
    </row>
    <row r="74">
      <c r="A74" t="inlineStr">
        <is>
          <t>ORD-0073</t>
        </is>
      </c>
      <c r="B74" s="2" t="n">
        <v>45693</v>
      </c>
      <c r="C74" t="inlineStr">
        <is>
          <t>East</t>
        </is>
      </c>
      <c r="D74" t="inlineStr">
        <is>
          <t>Corporate</t>
        </is>
      </c>
      <c r="E74" t="inlineStr">
        <is>
          <t>Notebook Set</t>
        </is>
      </c>
      <c r="F74" t="inlineStr">
        <is>
          <t>Stationery</t>
        </is>
      </c>
      <c r="G74" t="n">
        <v>6</v>
      </c>
      <c r="H74" s="3" t="n">
        <v>10.2</v>
      </c>
      <c r="I74" s="4" t="n">
        <v>0.15</v>
      </c>
      <c r="J74" s="3" t="n">
        <v>5</v>
      </c>
      <c r="K74" s="3">
        <f>G74*H74</f>
        <v/>
      </c>
      <c r="L74" s="3">
        <f>G74*J74</f>
        <v/>
      </c>
      <c r="M74" s="3">
        <f>K74-L74</f>
        <v/>
      </c>
      <c r="N74" s="5">
        <f>IFERROR(M74/K74,0)</f>
        <v/>
      </c>
    </row>
    <row r="75">
      <c r="A75" t="inlineStr">
        <is>
          <t>ORD-0074</t>
        </is>
      </c>
      <c r="B75" s="2" t="n">
        <v>45811</v>
      </c>
      <c r="C75" t="inlineStr">
        <is>
          <t>East</t>
        </is>
      </c>
      <c r="D75" t="inlineStr">
        <is>
          <t>Retail</t>
        </is>
      </c>
      <c r="E75" t="inlineStr">
        <is>
          <t>Wireless Mouse</t>
        </is>
      </c>
      <c r="F75" t="inlineStr">
        <is>
          <t>Accessories</t>
        </is>
      </c>
      <c r="G75" t="n">
        <v>5</v>
      </c>
      <c r="H75" s="3" t="n">
        <v>22.5</v>
      </c>
      <c r="I75" s="4" t="n">
        <v>0.1</v>
      </c>
      <c r="J75" s="3" t="n">
        <v>14</v>
      </c>
      <c r="K75" s="3">
        <f>G75*H75</f>
        <v/>
      </c>
      <c r="L75" s="3">
        <f>G75*J75</f>
        <v/>
      </c>
      <c r="M75" s="3">
        <f>K75-L75</f>
        <v/>
      </c>
      <c r="N75" s="5">
        <f>IFERROR(M75/K75,0)</f>
        <v/>
      </c>
    </row>
    <row r="76">
      <c r="A76" t="inlineStr">
        <is>
          <t>ORD-0075</t>
        </is>
      </c>
      <c r="B76" s="2" t="n">
        <v>45941</v>
      </c>
      <c r="C76" t="inlineStr">
        <is>
          <t>West</t>
        </is>
      </c>
      <c r="D76" t="inlineStr">
        <is>
          <t>Corporate</t>
        </is>
      </c>
      <c r="E76" t="inlineStr">
        <is>
          <t>USB-C Hub</t>
        </is>
      </c>
      <c r="F76" t="inlineStr">
        <is>
          <t>Electronics</t>
        </is>
      </c>
      <c r="G76" t="n">
        <v>3</v>
      </c>
      <c r="H76" s="3" t="n">
        <v>49</v>
      </c>
      <c r="I76" s="4" t="n">
        <v>0</v>
      </c>
      <c r="J76" s="3" t="n">
        <v>28</v>
      </c>
      <c r="K76" s="3">
        <f>G76*H76</f>
        <v/>
      </c>
      <c r="L76" s="3">
        <f>G76*J76</f>
        <v/>
      </c>
      <c r="M76" s="3">
        <f>K76-L76</f>
        <v/>
      </c>
      <c r="N76" s="5">
        <f>IFERROR(M76/K76,0)</f>
        <v/>
      </c>
    </row>
    <row r="77">
      <c r="A77" t="inlineStr">
        <is>
          <t>ORD-0076</t>
        </is>
      </c>
      <c r="B77" s="2" t="n">
        <v>46004</v>
      </c>
      <c r="C77" t="inlineStr">
        <is>
          <t>East</t>
        </is>
      </c>
      <c r="D77" t="inlineStr">
        <is>
          <t>Retail</t>
        </is>
      </c>
      <c r="E77" t="inlineStr">
        <is>
          <t>Notebook Set</t>
        </is>
      </c>
      <c r="F77" t="inlineStr">
        <is>
          <t>Stationery</t>
        </is>
      </c>
      <c r="G77" t="n">
        <v>3</v>
      </c>
      <c r="H77" s="3" t="n">
        <v>10.2</v>
      </c>
      <c r="I77" s="4" t="n">
        <v>0.15</v>
      </c>
      <c r="J77" s="3" t="n">
        <v>5</v>
      </c>
      <c r="K77" s="3">
        <f>G77*H77</f>
        <v/>
      </c>
      <c r="L77" s="3">
        <f>G77*J77</f>
        <v/>
      </c>
      <c r="M77" s="3">
        <f>K77-L77</f>
        <v/>
      </c>
      <c r="N77" s="5">
        <f>IFERROR(M77/K77,0)</f>
        <v/>
      </c>
    </row>
    <row r="78">
      <c r="A78" t="inlineStr">
        <is>
          <t>ORD-0077</t>
        </is>
      </c>
      <c r="B78" s="2" t="n">
        <v>45813</v>
      </c>
      <c r="C78" t="inlineStr">
        <is>
          <t>West</t>
        </is>
      </c>
      <c r="D78" t="inlineStr">
        <is>
          <t>Corporate</t>
        </is>
      </c>
      <c r="E78" t="inlineStr">
        <is>
          <t>Laptop Stand</t>
        </is>
      </c>
      <c r="F78" t="inlineStr">
        <is>
          <t>Accessories</t>
        </is>
      </c>
      <c r="G78" t="n">
        <v>5</v>
      </c>
      <c r="H78" s="3" t="n">
        <v>55</v>
      </c>
      <c r="I78" s="4" t="n">
        <v>0</v>
      </c>
      <c r="J78" s="3" t="n">
        <v>32</v>
      </c>
      <c r="K78" s="3">
        <f>G78*H78</f>
        <v/>
      </c>
      <c r="L78" s="3">
        <f>G78*J78</f>
        <v/>
      </c>
      <c r="M78" s="3">
        <f>K78-L78</f>
        <v/>
      </c>
      <c r="N78" s="5">
        <f>IFERROR(M78/K78,0)</f>
        <v/>
      </c>
    </row>
    <row r="79">
      <c r="A79" t="inlineStr">
        <is>
          <t>ORD-0078</t>
        </is>
      </c>
      <c r="B79" s="2" t="n">
        <v>45896</v>
      </c>
      <c r="C79" t="inlineStr">
        <is>
          <t>South</t>
        </is>
      </c>
      <c r="D79" t="inlineStr">
        <is>
          <t>Corporate</t>
        </is>
      </c>
      <c r="E79" t="inlineStr">
        <is>
          <t>Headphones</t>
        </is>
      </c>
      <c r="F79" t="inlineStr">
        <is>
          <t>Electronics</t>
        </is>
      </c>
      <c r="G79" t="n">
        <v>8</v>
      </c>
      <c r="H79" s="3" t="n">
        <v>71.09999999999999</v>
      </c>
      <c r="I79" s="4" t="n">
        <v>0.1</v>
      </c>
      <c r="J79" s="3" t="n">
        <v>48</v>
      </c>
      <c r="K79" s="3">
        <f>G79*H79</f>
        <v/>
      </c>
      <c r="L79" s="3">
        <f>G79*J79</f>
        <v/>
      </c>
      <c r="M79" s="3">
        <f>K79-L79</f>
        <v/>
      </c>
      <c r="N79" s="5">
        <f>IFERROR(M79/K79,0)</f>
        <v/>
      </c>
    </row>
    <row r="80">
      <c r="A80" t="inlineStr">
        <is>
          <t>ORD-0079</t>
        </is>
      </c>
      <c r="B80" s="2" t="n">
        <v>45744</v>
      </c>
      <c r="C80" t="inlineStr">
        <is>
          <t>East</t>
        </is>
      </c>
      <c r="D80" t="inlineStr">
        <is>
          <t>Online</t>
        </is>
      </c>
      <c r="E80" t="inlineStr">
        <is>
          <t>Desk Lamp</t>
        </is>
      </c>
      <c r="F80" t="inlineStr">
        <is>
          <t>Office</t>
        </is>
      </c>
      <c r="G80" t="n">
        <v>2</v>
      </c>
      <c r="H80" s="3" t="n">
        <v>39.9</v>
      </c>
      <c r="I80" s="4" t="n">
        <v>0.05</v>
      </c>
      <c r="J80" s="3" t="n">
        <v>24</v>
      </c>
      <c r="K80" s="3">
        <f>G80*H80</f>
        <v/>
      </c>
      <c r="L80" s="3">
        <f>G80*J80</f>
        <v/>
      </c>
      <c r="M80" s="3">
        <f>K80-L80</f>
        <v/>
      </c>
      <c r="N80" s="5">
        <f>IFERROR(M80/K80,0)</f>
        <v/>
      </c>
    </row>
    <row r="81">
      <c r="A81" t="inlineStr">
        <is>
          <t>ORD-0080</t>
        </is>
      </c>
      <c r="B81" s="2" t="n">
        <v>46002</v>
      </c>
      <c r="C81" t="inlineStr">
        <is>
          <t>South</t>
        </is>
      </c>
      <c r="D81" t="inlineStr">
        <is>
          <t>Online</t>
        </is>
      </c>
      <c r="E81" t="inlineStr">
        <is>
          <t>Monitor</t>
        </is>
      </c>
      <c r="F81" t="inlineStr">
        <is>
          <t>Electronics</t>
        </is>
      </c>
      <c r="G81" t="n">
        <v>5</v>
      </c>
      <c r="H81" s="3" t="n">
        <v>220</v>
      </c>
      <c r="I81" s="4" t="n">
        <v>0</v>
      </c>
      <c r="J81" s="3" t="n">
        <v>145</v>
      </c>
      <c r="K81" s="3">
        <f>G81*H81</f>
        <v/>
      </c>
      <c r="L81" s="3">
        <f>G81*J81</f>
        <v/>
      </c>
      <c r="M81" s="3">
        <f>K81-L81</f>
        <v/>
      </c>
      <c r="N81" s="5">
        <f>IFERROR(M81/K81,0)</f>
        <v/>
      </c>
    </row>
    <row r="82">
      <c r="A82" t="inlineStr">
        <is>
          <t>ORD-0081</t>
        </is>
      </c>
      <c r="B82" s="2" t="n">
        <v>45681</v>
      </c>
      <c r="C82" t="inlineStr">
        <is>
          <t>North</t>
        </is>
      </c>
      <c r="D82" t="inlineStr">
        <is>
          <t>Retail</t>
        </is>
      </c>
      <c r="E82" t="inlineStr">
        <is>
          <t>Laptop Stand</t>
        </is>
      </c>
      <c r="F82" t="inlineStr">
        <is>
          <t>Accessories</t>
        </is>
      </c>
      <c r="G82" t="n">
        <v>4</v>
      </c>
      <c r="H82" s="3" t="n">
        <v>49.5</v>
      </c>
      <c r="I82" s="4" t="n">
        <v>0.1</v>
      </c>
      <c r="J82" s="3" t="n">
        <v>32</v>
      </c>
      <c r="K82" s="3">
        <f>G82*H82</f>
        <v/>
      </c>
      <c r="L82" s="3">
        <f>G82*J82</f>
        <v/>
      </c>
      <c r="M82" s="3">
        <f>K82-L82</f>
        <v/>
      </c>
      <c r="N82" s="5">
        <f>IFERROR(M82/K82,0)</f>
        <v/>
      </c>
    </row>
    <row r="83">
      <c r="A83" t="inlineStr">
        <is>
          <t>ORD-0082</t>
        </is>
      </c>
      <c r="B83" s="2" t="n">
        <v>45980</v>
      </c>
      <c r="C83" t="inlineStr">
        <is>
          <t>West</t>
        </is>
      </c>
      <c r="D83" t="inlineStr">
        <is>
          <t>Retail</t>
        </is>
      </c>
      <c r="E83" t="inlineStr">
        <is>
          <t>Notebook Set</t>
        </is>
      </c>
      <c r="F83" t="inlineStr">
        <is>
          <t>Stationery</t>
        </is>
      </c>
      <c r="G83" t="n">
        <v>4</v>
      </c>
      <c r="H83" s="3" t="n">
        <v>10.8</v>
      </c>
      <c r="I83" s="4" t="n">
        <v>0.1</v>
      </c>
      <c r="J83" s="3" t="n">
        <v>5</v>
      </c>
      <c r="K83" s="3">
        <f>G83*H83</f>
        <v/>
      </c>
      <c r="L83" s="3">
        <f>G83*J83</f>
        <v/>
      </c>
      <c r="M83" s="3">
        <f>K83-L83</f>
        <v/>
      </c>
      <c r="N83" s="5">
        <f>IFERROR(M83/K83,0)</f>
        <v/>
      </c>
    </row>
    <row r="84">
      <c r="A84" t="inlineStr">
        <is>
          <t>ORD-0083</t>
        </is>
      </c>
      <c r="B84" s="2" t="n">
        <v>45733</v>
      </c>
      <c r="C84" t="inlineStr">
        <is>
          <t>West</t>
        </is>
      </c>
      <c r="D84" t="inlineStr">
        <is>
          <t>Online</t>
        </is>
      </c>
      <c r="E84" t="inlineStr">
        <is>
          <t>Monitor</t>
        </is>
      </c>
      <c r="F84" t="inlineStr">
        <is>
          <t>Electronics</t>
        </is>
      </c>
      <c r="G84" t="n">
        <v>1</v>
      </c>
      <c r="H84" s="3" t="n">
        <v>220</v>
      </c>
      <c r="I84" s="4" t="n">
        <v>0</v>
      </c>
      <c r="J84" s="3" t="n">
        <v>145</v>
      </c>
      <c r="K84" s="3">
        <f>G84*H84</f>
        <v/>
      </c>
      <c r="L84" s="3">
        <f>G84*J84</f>
        <v/>
      </c>
      <c r="M84" s="3">
        <f>K84-L84</f>
        <v/>
      </c>
      <c r="N84" s="5">
        <f>IFERROR(M84/K84,0)</f>
        <v/>
      </c>
    </row>
    <row r="85">
      <c r="A85" t="inlineStr">
        <is>
          <t>ORD-0084</t>
        </is>
      </c>
      <c r="B85" s="2" t="n">
        <v>46014</v>
      </c>
      <c r="C85" t="inlineStr">
        <is>
          <t>South</t>
        </is>
      </c>
      <c r="D85" t="inlineStr">
        <is>
          <t>Online</t>
        </is>
      </c>
      <c r="E85" t="inlineStr">
        <is>
          <t>Keyboard</t>
        </is>
      </c>
      <c r="F85" t="inlineStr">
        <is>
          <t>Accessories</t>
        </is>
      </c>
      <c r="G85" t="n">
        <v>8</v>
      </c>
      <c r="H85" s="3" t="n">
        <v>39</v>
      </c>
      <c r="I85" s="4" t="n">
        <v>0</v>
      </c>
      <c r="J85" s="3" t="n">
        <v>22</v>
      </c>
      <c r="K85" s="3">
        <f>G85*H85</f>
        <v/>
      </c>
      <c r="L85" s="3">
        <f>G85*J85</f>
        <v/>
      </c>
      <c r="M85" s="3">
        <f>K85-L85</f>
        <v/>
      </c>
      <c r="N85" s="5">
        <f>IFERROR(M85/K85,0)</f>
        <v/>
      </c>
    </row>
    <row r="86">
      <c r="A86" t="inlineStr">
        <is>
          <t>ORD-0085</t>
        </is>
      </c>
      <c r="B86" s="2" t="n">
        <v>45726</v>
      </c>
      <c r="C86" t="inlineStr">
        <is>
          <t>East</t>
        </is>
      </c>
      <c r="D86" t="inlineStr">
        <is>
          <t>Retail</t>
        </is>
      </c>
      <c r="E86" t="inlineStr">
        <is>
          <t>Desk Lamp</t>
        </is>
      </c>
      <c r="F86" t="inlineStr">
        <is>
          <t>Office</t>
        </is>
      </c>
      <c r="G86" t="n">
        <v>8</v>
      </c>
      <c r="H86" s="3" t="n">
        <v>35.7</v>
      </c>
      <c r="I86" s="4" t="n">
        <v>0.15</v>
      </c>
      <c r="J86" s="3" t="n">
        <v>24</v>
      </c>
      <c r="K86" s="3">
        <f>G86*H86</f>
        <v/>
      </c>
      <c r="L86" s="3">
        <f>G86*J86</f>
        <v/>
      </c>
      <c r="M86" s="3">
        <f>K86-L86</f>
        <v/>
      </c>
      <c r="N86" s="5">
        <f>IFERROR(M86/K86,0)</f>
        <v/>
      </c>
    </row>
    <row r="87">
      <c r="A87" t="inlineStr">
        <is>
          <t>ORD-0086</t>
        </is>
      </c>
      <c r="B87" s="2" t="n">
        <v>45938</v>
      </c>
      <c r="C87" t="inlineStr">
        <is>
          <t>West</t>
        </is>
      </c>
      <c r="D87" t="inlineStr">
        <is>
          <t>Retail</t>
        </is>
      </c>
      <c r="E87" t="inlineStr">
        <is>
          <t>Notebook Set</t>
        </is>
      </c>
      <c r="F87" t="inlineStr">
        <is>
          <t>Stationery</t>
        </is>
      </c>
      <c r="G87" t="n">
        <v>8</v>
      </c>
      <c r="H87" s="3" t="n">
        <v>12</v>
      </c>
      <c r="I87" s="4" t="n">
        <v>0</v>
      </c>
      <c r="J87" s="3" t="n">
        <v>5</v>
      </c>
      <c r="K87" s="3">
        <f>G87*H87</f>
        <v/>
      </c>
      <c r="L87" s="3">
        <f>G87*J87</f>
        <v/>
      </c>
      <c r="M87" s="3">
        <f>K87-L87</f>
        <v/>
      </c>
      <c r="N87" s="5">
        <f>IFERROR(M87/K87,0)</f>
        <v/>
      </c>
    </row>
    <row r="88">
      <c r="A88" t="inlineStr">
        <is>
          <t>ORD-0087</t>
        </is>
      </c>
      <c r="B88" s="2" t="n">
        <v>45784</v>
      </c>
      <c r="C88" t="inlineStr">
        <is>
          <t>West</t>
        </is>
      </c>
      <c r="D88" t="inlineStr">
        <is>
          <t>Corporate</t>
        </is>
      </c>
      <c r="E88" t="inlineStr">
        <is>
          <t>USB-C Hub</t>
        </is>
      </c>
      <c r="F88" t="inlineStr">
        <is>
          <t>Electronics</t>
        </is>
      </c>
      <c r="G88" t="n">
        <v>5</v>
      </c>
      <c r="H88" s="3" t="n">
        <v>41.65</v>
      </c>
      <c r="I88" s="4" t="n">
        <v>0.15</v>
      </c>
      <c r="J88" s="3" t="n">
        <v>28</v>
      </c>
      <c r="K88" s="3">
        <f>G88*H88</f>
        <v/>
      </c>
      <c r="L88" s="3">
        <f>G88*J88</f>
        <v/>
      </c>
      <c r="M88" s="3">
        <f>K88-L88</f>
        <v/>
      </c>
      <c r="N88" s="5">
        <f>IFERROR(M88/K88,0)</f>
        <v/>
      </c>
    </row>
    <row r="89">
      <c r="A89" t="inlineStr">
        <is>
          <t>ORD-0088</t>
        </is>
      </c>
      <c r="B89" s="2" t="n">
        <v>45798</v>
      </c>
      <c r="C89" t="inlineStr">
        <is>
          <t>East</t>
        </is>
      </c>
      <c r="D89" t="inlineStr">
        <is>
          <t>Online</t>
        </is>
      </c>
      <c r="E89" t="inlineStr">
        <is>
          <t>Monitor</t>
        </is>
      </c>
      <c r="F89" t="inlineStr">
        <is>
          <t>Electronics</t>
        </is>
      </c>
      <c r="G89" t="n">
        <v>8</v>
      </c>
      <c r="H89" s="3" t="n">
        <v>220</v>
      </c>
      <c r="I89" s="4" t="n">
        <v>0</v>
      </c>
      <c r="J89" s="3" t="n">
        <v>145</v>
      </c>
      <c r="K89" s="3">
        <f>G89*H89</f>
        <v/>
      </c>
      <c r="L89" s="3">
        <f>G89*J89</f>
        <v/>
      </c>
      <c r="M89" s="3">
        <f>K89-L89</f>
        <v/>
      </c>
      <c r="N89" s="5">
        <f>IFERROR(M89/K89,0)</f>
        <v/>
      </c>
    </row>
    <row r="90">
      <c r="A90" t="inlineStr">
        <is>
          <t>ORD-0089</t>
        </is>
      </c>
      <c r="B90" s="2" t="n">
        <v>45829</v>
      </c>
      <c r="C90" t="inlineStr">
        <is>
          <t>North</t>
        </is>
      </c>
      <c r="D90" t="inlineStr">
        <is>
          <t>Online</t>
        </is>
      </c>
      <c r="E90" t="inlineStr">
        <is>
          <t>USB-C Hub</t>
        </is>
      </c>
      <c r="F90" t="inlineStr">
        <is>
          <t>Electronics</t>
        </is>
      </c>
      <c r="G90" t="n">
        <v>6</v>
      </c>
      <c r="H90" s="3" t="n">
        <v>41.65</v>
      </c>
      <c r="I90" s="4" t="n">
        <v>0.15</v>
      </c>
      <c r="J90" s="3" t="n">
        <v>28</v>
      </c>
      <c r="K90" s="3">
        <f>G90*H90</f>
        <v/>
      </c>
      <c r="L90" s="3">
        <f>G90*J90</f>
        <v/>
      </c>
      <c r="M90" s="3">
        <f>K90-L90</f>
        <v/>
      </c>
      <c r="N90" s="5">
        <f>IFERROR(M90/K90,0)</f>
        <v/>
      </c>
    </row>
    <row r="91">
      <c r="A91" t="inlineStr">
        <is>
          <t>ORD-0090</t>
        </is>
      </c>
      <c r="B91" s="2" t="n">
        <v>45776</v>
      </c>
      <c r="C91" t="inlineStr">
        <is>
          <t>South</t>
        </is>
      </c>
      <c r="D91" t="inlineStr">
        <is>
          <t>Online</t>
        </is>
      </c>
      <c r="E91" t="inlineStr">
        <is>
          <t>Keyboard</t>
        </is>
      </c>
      <c r="F91" t="inlineStr">
        <is>
          <t>Accessories</t>
        </is>
      </c>
      <c r="G91" t="n">
        <v>7</v>
      </c>
      <c r="H91" s="3" t="n">
        <v>39</v>
      </c>
      <c r="I91" s="4" t="n">
        <v>0</v>
      </c>
      <c r="J91" s="3" t="n">
        <v>22</v>
      </c>
      <c r="K91" s="3">
        <f>G91*H91</f>
        <v/>
      </c>
      <c r="L91" s="3">
        <f>G91*J91</f>
        <v/>
      </c>
      <c r="M91" s="3">
        <f>K91-L91</f>
        <v/>
      </c>
      <c r="N91" s="5">
        <f>IFERROR(M91/K91,0)</f>
        <v/>
      </c>
    </row>
    <row r="92">
      <c r="A92" t="inlineStr">
        <is>
          <t>ORD-0091</t>
        </is>
      </c>
      <c r="B92" s="2" t="n">
        <v>45866</v>
      </c>
      <c r="C92" t="inlineStr">
        <is>
          <t>West</t>
        </is>
      </c>
      <c r="D92" t="inlineStr">
        <is>
          <t>Retail</t>
        </is>
      </c>
      <c r="E92" t="inlineStr">
        <is>
          <t>Notebook Set</t>
        </is>
      </c>
      <c r="F92" t="inlineStr">
        <is>
          <t>Stationery</t>
        </is>
      </c>
      <c r="G92" t="n">
        <v>6</v>
      </c>
      <c r="H92" s="3" t="n">
        <v>10.2</v>
      </c>
      <c r="I92" s="4" t="n">
        <v>0.15</v>
      </c>
      <c r="J92" s="3" t="n">
        <v>5</v>
      </c>
      <c r="K92" s="3">
        <f>G92*H92</f>
        <v/>
      </c>
      <c r="L92" s="3">
        <f>G92*J92</f>
        <v/>
      </c>
      <c r="M92" s="3">
        <f>K92-L92</f>
        <v/>
      </c>
      <c r="N92" s="5">
        <f>IFERROR(M92/K92,0)</f>
        <v/>
      </c>
    </row>
    <row r="93">
      <c r="A93" t="inlineStr">
        <is>
          <t>ORD-0092</t>
        </is>
      </c>
      <c r="B93" s="2" t="n">
        <v>45763</v>
      </c>
      <c r="C93" t="inlineStr">
        <is>
          <t>North</t>
        </is>
      </c>
      <c r="D93" t="inlineStr">
        <is>
          <t>Corporate</t>
        </is>
      </c>
      <c r="E93" t="inlineStr">
        <is>
          <t>Laptop Stand</t>
        </is>
      </c>
      <c r="F93" t="inlineStr">
        <is>
          <t>Accessories</t>
        </is>
      </c>
      <c r="G93" t="n">
        <v>7</v>
      </c>
      <c r="H93" s="3" t="n">
        <v>49.5</v>
      </c>
      <c r="I93" s="4" t="n">
        <v>0.1</v>
      </c>
      <c r="J93" s="3" t="n">
        <v>32</v>
      </c>
      <c r="K93" s="3">
        <f>G93*H93</f>
        <v/>
      </c>
      <c r="L93" s="3">
        <f>G93*J93</f>
        <v/>
      </c>
      <c r="M93" s="3">
        <f>K93-L93</f>
        <v/>
      </c>
      <c r="N93" s="5">
        <f>IFERROR(M93/K93,0)</f>
        <v/>
      </c>
    </row>
    <row r="94">
      <c r="A94" t="inlineStr">
        <is>
          <t>ORD-0093</t>
        </is>
      </c>
      <c r="B94" s="2" t="n">
        <v>45902</v>
      </c>
      <c r="C94" t="inlineStr">
        <is>
          <t>East</t>
        </is>
      </c>
      <c r="D94" t="inlineStr">
        <is>
          <t>Retail</t>
        </is>
      </c>
      <c r="E94" t="inlineStr">
        <is>
          <t>Notebook Set</t>
        </is>
      </c>
      <c r="F94" t="inlineStr">
        <is>
          <t>Stationery</t>
        </is>
      </c>
      <c r="G94" t="n">
        <v>1</v>
      </c>
      <c r="H94" s="3" t="n">
        <v>11.4</v>
      </c>
      <c r="I94" s="4" t="n">
        <v>0.05</v>
      </c>
      <c r="J94" s="3" t="n">
        <v>5</v>
      </c>
      <c r="K94" s="3">
        <f>G94*H94</f>
        <v/>
      </c>
      <c r="L94" s="3">
        <f>G94*J94</f>
        <v/>
      </c>
      <c r="M94" s="3">
        <f>K94-L94</f>
        <v/>
      </c>
      <c r="N94" s="5">
        <f>IFERROR(M94/K94,0)</f>
        <v/>
      </c>
    </row>
    <row r="95">
      <c r="A95" t="inlineStr">
        <is>
          <t>ORD-0094</t>
        </is>
      </c>
      <c r="B95" s="2" t="n">
        <v>45933</v>
      </c>
      <c r="C95" t="inlineStr">
        <is>
          <t>South</t>
        </is>
      </c>
      <c r="D95" t="inlineStr">
        <is>
          <t>Retail</t>
        </is>
      </c>
      <c r="E95" t="inlineStr">
        <is>
          <t>Notebook Set</t>
        </is>
      </c>
      <c r="F95" t="inlineStr">
        <is>
          <t>Stationery</t>
        </is>
      </c>
      <c r="G95" t="n">
        <v>4</v>
      </c>
      <c r="H95" s="3" t="n">
        <v>10.8</v>
      </c>
      <c r="I95" s="4" t="n">
        <v>0.1</v>
      </c>
      <c r="J95" s="3" t="n">
        <v>5</v>
      </c>
      <c r="K95" s="3">
        <f>G95*H95</f>
        <v/>
      </c>
      <c r="L95" s="3">
        <f>G95*J95</f>
        <v/>
      </c>
      <c r="M95" s="3">
        <f>K95-L95</f>
        <v/>
      </c>
      <c r="N95" s="5">
        <f>IFERROR(M95/K95,0)</f>
        <v/>
      </c>
    </row>
    <row r="96">
      <c r="A96" t="inlineStr">
        <is>
          <t>ORD-0095</t>
        </is>
      </c>
      <c r="B96" s="2" t="n">
        <v>45906</v>
      </c>
      <c r="C96" t="inlineStr">
        <is>
          <t>East</t>
        </is>
      </c>
      <c r="D96" t="inlineStr">
        <is>
          <t>Corporate</t>
        </is>
      </c>
      <c r="E96" t="inlineStr">
        <is>
          <t>Notebook Set</t>
        </is>
      </c>
      <c r="F96" t="inlineStr">
        <is>
          <t>Stationery</t>
        </is>
      </c>
      <c r="G96" t="n">
        <v>1</v>
      </c>
      <c r="H96" s="3" t="n">
        <v>10.8</v>
      </c>
      <c r="I96" s="4" t="n">
        <v>0.1</v>
      </c>
      <c r="J96" s="3" t="n">
        <v>5</v>
      </c>
      <c r="K96" s="3">
        <f>G96*H96</f>
        <v/>
      </c>
      <c r="L96" s="3">
        <f>G96*J96</f>
        <v/>
      </c>
      <c r="M96" s="3">
        <f>K96-L96</f>
        <v/>
      </c>
      <c r="N96" s="5">
        <f>IFERROR(M96/K96,0)</f>
        <v/>
      </c>
    </row>
    <row r="97">
      <c r="A97" t="inlineStr">
        <is>
          <t>ORD-0096</t>
        </is>
      </c>
      <c r="B97" s="2" t="n">
        <v>45742</v>
      </c>
      <c r="C97" t="inlineStr">
        <is>
          <t>North</t>
        </is>
      </c>
      <c r="D97" t="inlineStr">
        <is>
          <t>Retail</t>
        </is>
      </c>
      <c r="E97" t="inlineStr">
        <is>
          <t>Notebook Set</t>
        </is>
      </c>
      <c r="F97" t="inlineStr">
        <is>
          <t>Stationery</t>
        </is>
      </c>
      <c r="G97" t="n">
        <v>8</v>
      </c>
      <c r="H97" s="3" t="n">
        <v>12</v>
      </c>
      <c r="I97" s="4" t="n">
        <v>0</v>
      </c>
      <c r="J97" s="3" t="n">
        <v>5</v>
      </c>
      <c r="K97" s="3">
        <f>G97*H97</f>
        <v/>
      </c>
      <c r="L97" s="3">
        <f>G97*J97</f>
        <v/>
      </c>
      <c r="M97" s="3">
        <f>K97-L97</f>
        <v/>
      </c>
      <c r="N97" s="5">
        <f>IFERROR(M97/K97,0)</f>
        <v/>
      </c>
    </row>
    <row r="98">
      <c r="A98" t="inlineStr">
        <is>
          <t>ORD-0097</t>
        </is>
      </c>
      <c r="B98" s="2" t="n">
        <v>45700</v>
      </c>
      <c r="C98" t="inlineStr">
        <is>
          <t>West</t>
        </is>
      </c>
      <c r="D98" t="inlineStr">
        <is>
          <t>Online</t>
        </is>
      </c>
      <c r="E98" t="inlineStr">
        <is>
          <t>Laptop Stand</t>
        </is>
      </c>
      <c r="F98" t="inlineStr">
        <is>
          <t>Accessories</t>
        </is>
      </c>
      <c r="G98" t="n">
        <v>7</v>
      </c>
      <c r="H98" s="3" t="n">
        <v>55</v>
      </c>
      <c r="I98" s="4" t="n">
        <v>0</v>
      </c>
      <c r="J98" s="3" t="n">
        <v>32</v>
      </c>
      <c r="K98" s="3">
        <f>G98*H98</f>
        <v/>
      </c>
      <c r="L98" s="3">
        <f>G98*J98</f>
        <v/>
      </c>
      <c r="M98" s="3">
        <f>K98-L98</f>
        <v/>
      </c>
      <c r="N98" s="5">
        <f>IFERROR(M98/K98,0)</f>
        <v/>
      </c>
    </row>
    <row r="99">
      <c r="A99" t="inlineStr">
        <is>
          <t>ORD-0098</t>
        </is>
      </c>
      <c r="B99" s="2" t="n">
        <v>45791</v>
      </c>
      <c r="C99" t="inlineStr">
        <is>
          <t>South</t>
        </is>
      </c>
      <c r="D99" t="inlineStr">
        <is>
          <t>Retail</t>
        </is>
      </c>
      <c r="E99" t="inlineStr">
        <is>
          <t>Laptop Stand</t>
        </is>
      </c>
      <c r="F99" t="inlineStr">
        <is>
          <t>Accessories</t>
        </is>
      </c>
      <c r="G99" t="n">
        <v>7</v>
      </c>
      <c r="H99" s="3" t="n">
        <v>52.25</v>
      </c>
      <c r="I99" s="4" t="n">
        <v>0.05</v>
      </c>
      <c r="J99" s="3" t="n">
        <v>32</v>
      </c>
      <c r="K99" s="3">
        <f>G99*H99</f>
        <v/>
      </c>
      <c r="L99" s="3">
        <f>G99*J99</f>
        <v/>
      </c>
      <c r="M99" s="3">
        <f>K99-L99</f>
        <v/>
      </c>
      <c r="N99" s="5">
        <f>IFERROR(M99/K99,0)</f>
        <v/>
      </c>
    </row>
    <row r="100">
      <c r="A100" t="inlineStr">
        <is>
          <t>ORD-0099</t>
        </is>
      </c>
      <c r="B100" s="2" t="n">
        <v>45830</v>
      </c>
      <c r="C100" t="inlineStr">
        <is>
          <t>West</t>
        </is>
      </c>
      <c r="D100" t="inlineStr">
        <is>
          <t>Retail</t>
        </is>
      </c>
      <c r="E100" t="inlineStr">
        <is>
          <t>Headphones</t>
        </is>
      </c>
      <c r="F100" t="inlineStr">
        <is>
          <t>Electronics</t>
        </is>
      </c>
      <c r="G100" t="n">
        <v>7</v>
      </c>
      <c r="H100" s="3" t="n">
        <v>75.05</v>
      </c>
      <c r="I100" s="4" t="n">
        <v>0.05</v>
      </c>
      <c r="J100" s="3" t="n">
        <v>48</v>
      </c>
      <c r="K100" s="3">
        <f>G100*H100</f>
        <v/>
      </c>
      <c r="L100" s="3">
        <f>G100*J100</f>
        <v/>
      </c>
      <c r="M100" s="3">
        <f>K100-L100</f>
        <v/>
      </c>
      <c r="N100" s="5">
        <f>IFERROR(M100/K100,0)</f>
        <v/>
      </c>
    </row>
    <row r="101">
      <c r="A101" t="inlineStr">
        <is>
          <t>ORD-0100</t>
        </is>
      </c>
      <c r="B101" s="2" t="n">
        <v>45898</v>
      </c>
      <c r="C101" t="inlineStr">
        <is>
          <t>North</t>
        </is>
      </c>
      <c r="D101" t="inlineStr">
        <is>
          <t>Retail</t>
        </is>
      </c>
      <c r="E101" t="inlineStr">
        <is>
          <t>Wireless Mouse</t>
        </is>
      </c>
      <c r="F101" t="inlineStr">
        <is>
          <t>Accessories</t>
        </is>
      </c>
      <c r="G101" t="n">
        <v>1</v>
      </c>
      <c r="H101" s="3" t="n">
        <v>21.25</v>
      </c>
      <c r="I101" s="4" t="n">
        <v>0.15</v>
      </c>
      <c r="J101" s="3" t="n">
        <v>14</v>
      </c>
      <c r="K101" s="3">
        <f>G101*H101</f>
        <v/>
      </c>
      <c r="L101" s="3">
        <f>G101*J101</f>
        <v/>
      </c>
      <c r="M101" s="3">
        <f>K101-L101</f>
        <v/>
      </c>
      <c r="N101" s="5">
        <f>IFERROR(M101/K101,0)</f>
        <v/>
      </c>
    </row>
    <row r="102">
      <c r="A102" t="inlineStr">
        <is>
          <t>ORD-0101</t>
        </is>
      </c>
      <c r="B102" s="2" t="n">
        <v>45990</v>
      </c>
      <c r="C102" t="inlineStr">
        <is>
          <t>North</t>
        </is>
      </c>
      <c r="D102" t="inlineStr">
        <is>
          <t>Online</t>
        </is>
      </c>
      <c r="E102" t="inlineStr">
        <is>
          <t>Monitor</t>
        </is>
      </c>
      <c r="F102" t="inlineStr">
        <is>
          <t>Electronics</t>
        </is>
      </c>
      <c r="G102" t="n">
        <v>2</v>
      </c>
      <c r="H102" s="3" t="n">
        <v>220</v>
      </c>
      <c r="I102" s="4" t="n">
        <v>0</v>
      </c>
      <c r="J102" s="3" t="n">
        <v>145</v>
      </c>
      <c r="K102" s="3">
        <f>G102*H102</f>
        <v/>
      </c>
      <c r="L102" s="3">
        <f>G102*J102</f>
        <v/>
      </c>
      <c r="M102" s="3">
        <f>K102-L102</f>
        <v/>
      </c>
      <c r="N102" s="5">
        <f>IFERROR(M102/K102,0)</f>
        <v/>
      </c>
    </row>
    <row r="103">
      <c r="A103" t="inlineStr">
        <is>
          <t>ORD-0102</t>
        </is>
      </c>
      <c r="B103" s="2" t="n">
        <v>45668</v>
      </c>
      <c r="C103" t="inlineStr">
        <is>
          <t>South</t>
        </is>
      </c>
      <c r="D103" t="inlineStr">
        <is>
          <t>Retail</t>
        </is>
      </c>
      <c r="E103" t="inlineStr">
        <is>
          <t>Monitor</t>
        </is>
      </c>
      <c r="F103" t="inlineStr">
        <is>
          <t>Electronics</t>
        </is>
      </c>
      <c r="G103" t="n">
        <v>3</v>
      </c>
      <c r="H103" s="3" t="n">
        <v>220</v>
      </c>
      <c r="I103" s="4" t="n">
        <v>0</v>
      </c>
      <c r="J103" s="3" t="n">
        <v>145</v>
      </c>
      <c r="K103" s="3">
        <f>G103*H103</f>
        <v/>
      </c>
      <c r="L103" s="3">
        <f>G103*J103</f>
        <v/>
      </c>
      <c r="M103" s="3">
        <f>K103-L103</f>
        <v/>
      </c>
      <c r="N103" s="5">
        <f>IFERROR(M103/K103,0)</f>
        <v/>
      </c>
    </row>
    <row r="104">
      <c r="A104" t="inlineStr">
        <is>
          <t>ORD-0103</t>
        </is>
      </c>
      <c r="B104" s="2" t="n">
        <v>45946</v>
      </c>
      <c r="C104" t="inlineStr">
        <is>
          <t>East</t>
        </is>
      </c>
      <c r="D104" t="inlineStr">
        <is>
          <t>Retail</t>
        </is>
      </c>
      <c r="E104" t="inlineStr">
        <is>
          <t>Wireless Mouse</t>
        </is>
      </c>
      <c r="F104" t="inlineStr">
        <is>
          <t>Accessories</t>
        </is>
      </c>
      <c r="G104" t="n">
        <v>4</v>
      </c>
      <c r="H104" s="3" t="n">
        <v>22.5</v>
      </c>
      <c r="I104" s="4" t="n">
        <v>0.1</v>
      </c>
      <c r="J104" s="3" t="n">
        <v>14</v>
      </c>
      <c r="K104" s="3">
        <f>G104*H104</f>
        <v/>
      </c>
      <c r="L104" s="3">
        <f>G104*J104</f>
        <v/>
      </c>
      <c r="M104" s="3">
        <f>K104-L104</f>
        <v/>
      </c>
      <c r="N104" s="5">
        <f>IFERROR(M104/K104,0)</f>
        <v/>
      </c>
    </row>
    <row r="105">
      <c r="A105" t="inlineStr">
        <is>
          <t>ORD-0104</t>
        </is>
      </c>
      <c r="B105" s="2" t="n">
        <v>45968</v>
      </c>
      <c r="C105" t="inlineStr">
        <is>
          <t>East</t>
        </is>
      </c>
      <c r="D105" t="inlineStr">
        <is>
          <t>Online</t>
        </is>
      </c>
      <c r="E105" t="inlineStr">
        <is>
          <t>Keyboard</t>
        </is>
      </c>
      <c r="F105" t="inlineStr">
        <is>
          <t>Accessories</t>
        </is>
      </c>
      <c r="G105" t="n">
        <v>2</v>
      </c>
      <c r="H105" s="3" t="n">
        <v>39</v>
      </c>
      <c r="I105" s="4" t="n">
        <v>0</v>
      </c>
      <c r="J105" s="3" t="n">
        <v>22</v>
      </c>
      <c r="K105" s="3">
        <f>G105*H105</f>
        <v/>
      </c>
      <c r="L105" s="3">
        <f>G105*J105</f>
        <v/>
      </c>
      <c r="M105" s="3">
        <f>K105-L105</f>
        <v/>
      </c>
      <c r="N105" s="5">
        <f>IFERROR(M105/K105,0)</f>
        <v/>
      </c>
    </row>
    <row r="106">
      <c r="A106" t="inlineStr">
        <is>
          <t>ORD-0105</t>
        </is>
      </c>
      <c r="B106" s="2" t="n">
        <v>45817</v>
      </c>
      <c r="C106" t="inlineStr">
        <is>
          <t>South</t>
        </is>
      </c>
      <c r="D106" t="inlineStr">
        <is>
          <t>Online</t>
        </is>
      </c>
      <c r="E106" t="inlineStr">
        <is>
          <t>Laptop Stand</t>
        </is>
      </c>
      <c r="F106" t="inlineStr">
        <is>
          <t>Accessories</t>
        </is>
      </c>
      <c r="G106" t="n">
        <v>7</v>
      </c>
      <c r="H106" s="3" t="n">
        <v>49.5</v>
      </c>
      <c r="I106" s="4" t="n">
        <v>0.1</v>
      </c>
      <c r="J106" s="3" t="n">
        <v>32</v>
      </c>
      <c r="K106" s="3">
        <f>G106*H106</f>
        <v/>
      </c>
      <c r="L106" s="3">
        <f>G106*J106</f>
        <v/>
      </c>
      <c r="M106" s="3">
        <f>K106-L106</f>
        <v/>
      </c>
      <c r="N106" s="5">
        <f>IFERROR(M106/K106,0)</f>
        <v/>
      </c>
    </row>
    <row r="107">
      <c r="A107" t="inlineStr">
        <is>
          <t>ORD-0106</t>
        </is>
      </c>
      <c r="B107" s="2" t="n">
        <v>45710</v>
      </c>
      <c r="C107" t="inlineStr">
        <is>
          <t>North</t>
        </is>
      </c>
      <c r="D107" t="inlineStr">
        <is>
          <t>Corporate</t>
        </is>
      </c>
      <c r="E107" t="inlineStr">
        <is>
          <t>Monitor</t>
        </is>
      </c>
      <c r="F107" t="inlineStr">
        <is>
          <t>Electronics</t>
        </is>
      </c>
      <c r="G107" t="n">
        <v>5</v>
      </c>
      <c r="H107" s="3" t="n">
        <v>187</v>
      </c>
      <c r="I107" s="4" t="n">
        <v>0.15</v>
      </c>
      <c r="J107" s="3" t="n">
        <v>145</v>
      </c>
      <c r="K107" s="3">
        <f>G107*H107</f>
        <v/>
      </c>
      <c r="L107" s="3">
        <f>G107*J107</f>
        <v/>
      </c>
      <c r="M107" s="3">
        <f>K107-L107</f>
        <v/>
      </c>
      <c r="N107" s="5">
        <f>IFERROR(M107/K107,0)</f>
        <v/>
      </c>
    </row>
    <row r="108">
      <c r="A108" t="inlineStr">
        <is>
          <t>ORD-0107</t>
        </is>
      </c>
      <c r="B108" s="2" t="n">
        <v>45835</v>
      </c>
      <c r="C108" t="inlineStr">
        <is>
          <t>North</t>
        </is>
      </c>
      <c r="D108" t="inlineStr">
        <is>
          <t>Corporate</t>
        </is>
      </c>
      <c r="E108" t="inlineStr">
        <is>
          <t>Laptop Stand</t>
        </is>
      </c>
      <c r="F108" t="inlineStr">
        <is>
          <t>Accessories</t>
        </is>
      </c>
      <c r="G108" t="n">
        <v>7</v>
      </c>
      <c r="H108" s="3" t="n">
        <v>52.25</v>
      </c>
      <c r="I108" s="4" t="n">
        <v>0.05</v>
      </c>
      <c r="J108" s="3" t="n">
        <v>32</v>
      </c>
      <c r="K108" s="3">
        <f>G108*H108</f>
        <v/>
      </c>
      <c r="L108" s="3">
        <f>G108*J108</f>
        <v/>
      </c>
      <c r="M108" s="3">
        <f>K108-L108</f>
        <v/>
      </c>
      <c r="N108" s="5">
        <f>IFERROR(M108/K108,0)</f>
        <v/>
      </c>
    </row>
    <row r="109">
      <c r="A109" t="inlineStr">
        <is>
          <t>ORD-0108</t>
        </is>
      </c>
      <c r="B109" s="2" t="n">
        <v>45664</v>
      </c>
      <c r="C109" t="inlineStr">
        <is>
          <t>North</t>
        </is>
      </c>
      <c r="D109" t="inlineStr">
        <is>
          <t>Retail</t>
        </is>
      </c>
      <c r="E109" t="inlineStr">
        <is>
          <t>Headphones</t>
        </is>
      </c>
      <c r="F109" t="inlineStr">
        <is>
          <t>Electronics</t>
        </is>
      </c>
      <c r="G109" t="n">
        <v>7</v>
      </c>
      <c r="H109" s="3" t="n">
        <v>71.09999999999999</v>
      </c>
      <c r="I109" s="4" t="n">
        <v>0.1</v>
      </c>
      <c r="J109" s="3" t="n">
        <v>48</v>
      </c>
      <c r="K109" s="3">
        <f>G109*H109</f>
        <v/>
      </c>
      <c r="L109" s="3">
        <f>G109*J109</f>
        <v/>
      </c>
      <c r="M109" s="3">
        <f>K109-L109</f>
        <v/>
      </c>
      <c r="N109" s="5">
        <f>IFERROR(M109/K109,0)</f>
        <v/>
      </c>
    </row>
    <row r="110">
      <c r="A110" t="inlineStr">
        <is>
          <t>ORD-0109</t>
        </is>
      </c>
      <c r="B110" s="2" t="n">
        <v>45983</v>
      </c>
      <c r="C110" t="inlineStr">
        <is>
          <t>West</t>
        </is>
      </c>
      <c r="D110" t="inlineStr">
        <is>
          <t>Online</t>
        </is>
      </c>
      <c r="E110" t="inlineStr">
        <is>
          <t>Headphones</t>
        </is>
      </c>
      <c r="F110" t="inlineStr">
        <is>
          <t>Electronics</t>
        </is>
      </c>
      <c r="G110" t="n">
        <v>8</v>
      </c>
      <c r="H110" s="3" t="n">
        <v>79</v>
      </c>
      <c r="I110" s="4" t="n">
        <v>0</v>
      </c>
      <c r="J110" s="3" t="n">
        <v>48</v>
      </c>
      <c r="K110" s="3">
        <f>G110*H110</f>
        <v/>
      </c>
      <c r="L110" s="3">
        <f>G110*J110</f>
        <v/>
      </c>
      <c r="M110" s="3">
        <f>K110-L110</f>
        <v/>
      </c>
      <c r="N110" s="5">
        <f>IFERROR(M110/K110,0)</f>
        <v/>
      </c>
    </row>
    <row r="111">
      <c r="A111" t="inlineStr">
        <is>
          <t>ORD-0110</t>
        </is>
      </c>
      <c r="B111" s="2" t="n">
        <v>45973</v>
      </c>
      <c r="C111" t="inlineStr">
        <is>
          <t>West</t>
        </is>
      </c>
      <c r="D111" t="inlineStr">
        <is>
          <t>Corporate</t>
        </is>
      </c>
      <c r="E111" t="inlineStr">
        <is>
          <t>USB-C Hub</t>
        </is>
      </c>
      <c r="F111" t="inlineStr">
        <is>
          <t>Electronics</t>
        </is>
      </c>
      <c r="G111" t="n">
        <v>8</v>
      </c>
      <c r="H111" s="3" t="n">
        <v>44.1</v>
      </c>
      <c r="I111" s="4" t="n">
        <v>0.1</v>
      </c>
      <c r="J111" s="3" t="n">
        <v>28</v>
      </c>
      <c r="K111" s="3">
        <f>G111*H111</f>
        <v/>
      </c>
      <c r="L111" s="3">
        <f>G111*J111</f>
        <v/>
      </c>
      <c r="M111" s="3">
        <f>K111-L111</f>
        <v/>
      </c>
      <c r="N111" s="5">
        <f>IFERROR(M111/K111,0)</f>
        <v/>
      </c>
    </row>
    <row r="112">
      <c r="A112" t="inlineStr">
        <is>
          <t>ORD-0111</t>
        </is>
      </c>
      <c r="B112" s="2" t="n">
        <v>45823</v>
      </c>
      <c r="C112" t="inlineStr">
        <is>
          <t>East</t>
        </is>
      </c>
      <c r="D112" t="inlineStr">
        <is>
          <t>Retail</t>
        </is>
      </c>
      <c r="E112" t="inlineStr">
        <is>
          <t>USB-C Hub</t>
        </is>
      </c>
      <c r="F112" t="inlineStr">
        <is>
          <t>Electronics</t>
        </is>
      </c>
      <c r="G112" t="n">
        <v>4</v>
      </c>
      <c r="H112" s="3" t="n">
        <v>49</v>
      </c>
      <c r="I112" s="4" t="n">
        <v>0</v>
      </c>
      <c r="J112" s="3" t="n">
        <v>28</v>
      </c>
      <c r="K112" s="3">
        <f>G112*H112</f>
        <v/>
      </c>
      <c r="L112" s="3">
        <f>G112*J112</f>
        <v/>
      </c>
      <c r="M112" s="3">
        <f>K112-L112</f>
        <v/>
      </c>
      <c r="N112" s="5">
        <f>IFERROR(M112/K112,0)</f>
        <v/>
      </c>
    </row>
    <row r="113">
      <c r="A113" t="inlineStr">
        <is>
          <t>ORD-0112</t>
        </is>
      </c>
      <c r="B113" s="2" t="n">
        <v>45895</v>
      </c>
      <c r="C113" t="inlineStr">
        <is>
          <t>North</t>
        </is>
      </c>
      <c r="D113" t="inlineStr">
        <is>
          <t>Retail</t>
        </is>
      </c>
      <c r="E113" t="inlineStr">
        <is>
          <t>Monitor</t>
        </is>
      </c>
      <c r="F113" t="inlineStr">
        <is>
          <t>Electronics</t>
        </is>
      </c>
      <c r="G113" t="n">
        <v>7</v>
      </c>
      <c r="H113" s="3" t="n">
        <v>209</v>
      </c>
      <c r="I113" s="4" t="n">
        <v>0.05</v>
      </c>
      <c r="J113" s="3" t="n">
        <v>145</v>
      </c>
      <c r="K113" s="3">
        <f>G113*H113</f>
        <v/>
      </c>
      <c r="L113" s="3">
        <f>G113*J113</f>
        <v/>
      </c>
      <c r="M113" s="3">
        <f>K113-L113</f>
        <v/>
      </c>
      <c r="N113" s="5">
        <f>IFERROR(M113/K113,0)</f>
        <v/>
      </c>
    </row>
    <row r="114">
      <c r="A114" t="inlineStr">
        <is>
          <t>ORD-0113</t>
        </is>
      </c>
      <c r="B114" s="2" t="n">
        <v>45751</v>
      </c>
      <c r="C114" t="inlineStr">
        <is>
          <t>East</t>
        </is>
      </c>
      <c r="D114" t="inlineStr">
        <is>
          <t>Retail</t>
        </is>
      </c>
      <c r="E114" t="inlineStr">
        <is>
          <t>Headphones</t>
        </is>
      </c>
      <c r="F114" t="inlineStr">
        <is>
          <t>Electronics</t>
        </is>
      </c>
      <c r="G114" t="n">
        <v>8</v>
      </c>
      <c r="H114" s="3" t="n">
        <v>79</v>
      </c>
      <c r="I114" s="4" t="n">
        <v>0</v>
      </c>
      <c r="J114" s="3" t="n">
        <v>48</v>
      </c>
      <c r="K114" s="3">
        <f>G114*H114</f>
        <v/>
      </c>
      <c r="L114" s="3">
        <f>G114*J114</f>
        <v/>
      </c>
      <c r="M114" s="3">
        <f>K114-L114</f>
        <v/>
      </c>
      <c r="N114" s="5">
        <f>IFERROR(M114/K114,0)</f>
        <v/>
      </c>
    </row>
    <row r="115">
      <c r="A115" t="inlineStr">
        <is>
          <t>ORD-0114</t>
        </is>
      </c>
      <c r="B115" s="2" t="n">
        <v>45801</v>
      </c>
      <c r="C115" t="inlineStr">
        <is>
          <t>North</t>
        </is>
      </c>
      <c r="D115" t="inlineStr">
        <is>
          <t>Corporate</t>
        </is>
      </c>
      <c r="E115" t="inlineStr">
        <is>
          <t>Headphones</t>
        </is>
      </c>
      <c r="F115" t="inlineStr">
        <is>
          <t>Electronics</t>
        </is>
      </c>
      <c r="G115" t="n">
        <v>5</v>
      </c>
      <c r="H115" s="3" t="n">
        <v>67.15000000000001</v>
      </c>
      <c r="I115" s="4" t="n">
        <v>0.15</v>
      </c>
      <c r="J115" s="3" t="n">
        <v>48</v>
      </c>
      <c r="K115" s="3">
        <f>G115*H115</f>
        <v/>
      </c>
      <c r="L115" s="3">
        <f>G115*J115</f>
        <v/>
      </c>
      <c r="M115" s="3">
        <f>K115-L115</f>
        <v/>
      </c>
      <c r="N115" s="5">
        <f>IFERROR(M115/K115,0)</f>
        <v/>
      </c>
    </row>
    <row r="116">
      <c r="A116" t="inlineStr">
        <is>
          <t>ORD-0115</t>
        </is>
      </c>
      <c r="B116" s="2" t="n">
        <v>45701</v>
      </c>
      <c r="C116" t="inlineStr">
        <is>
          <t>West</t>
        </is>
      </c>
      <c r="D116" t="inlineStr">
        <is>
          <t>Corporate</t>
        </is>
      </c>
      <c r="E116" t="inlineStr">
        <is>
          <t>Monitor</t>
        </is>
      </c>
      <c r="F116" t="inlineStr">
        <is>
          <t>Electronics</t>
        </is>
      </c>
      <c r="G116" t="n">
        <v>4</v>
      </c>
      <c r="H116" s="3" t="n">
        <v>198</v>
      </c>
      <c r="I116" s="4" t="n">
        <v>0.1</v>
      </c>
      <c r="J116" s="3" t="n">
        <v>145</v>
      </c>
      <c r="K116" s="3">
        <f>G116*H116</f>
        <v/>
      </c>
      <c r="L116" s="3">
        <f>G116*J116</f>
        <v/>
      </c>
      <c r="M116" s="3">
        <f>K116-L116</f>
        <v/>
      </c>
      <c r="N116" s="5">
        <f>IFERROR(M116/K116,0)</f>
        <v/>
      </c>
    </row>
    <row r="117">
      <c r="A117" t="inlineStr">
        <is>
          <t>ORD-0116</t>
        </is>
      </c>
      <c r="B117" s="2" t="n">
        <v>46011</v>
      </c>
      <c r="C117" t="inlineStr">
        <is>
          <t>West</t>
        </is>
      </c>
      <c r="D117" t="inlineStr">
        <is>
          <t>Online</t>
        </is>
      </c>
      <c r="E117" t="inlineStr">
        <is>
          <t>Monitor</t>
        </is>
      </c>
      <c r="F117" t="inlineStr">
        <is>
          <t>Electronics</t>
        </is>
      </c>
      <c r="G117" t="n">
        <v>8</v>
      </c>
      <c r="H117" s="3" t="n">
        <v>198</v>
      </c>
      <c r="I117" s="4" t="n">
        <v>0.1</v>
      </c>
      <c r="J117" s="3" t="n">
        <v>145</v>
      </c>
      <c r="K117" s="3">
        <f>G117*H117</f>
        <v/>
      </c>
      <c r="L117" s="3">
        <f>G117*J117</f>
        <v/>
      </c>
      <c r="M117" s="3">
        <f>K117-L117</f>
        <v/>
      </c>
      <c r="N117" s="5">
        <f>IFERROR(M117/K117,0)</f>
        <v/>
      </c>
    </row>
    <row r="118">
      <c r="A118" t="inlineStr">
        <is>
          <t>ORD-0117</t>
        </is>
      </c>
      <c r="B118" s="2" t="n">
        <v>45808</v>
      </c>
      <c r="C118" t="inlineStr">
        <is>
          <t>South</t>
        </is>
      </c>
      <c r="D118" t="inlineStr">
        <is>
          <t>Retail</t>
        </is>
      </c>
      <c r="E118" t="inlineStr">
        <is>
          <t>Wireless Mouse</t>
        </is>
      </c>
      <c r="F118" t="inlineStr">
        <is>
          <t>Accessories</t>
        </is>
      </c>
      <c r="G118" t="n">
        <v>4</v>
      </c>
      <c r="H118" s="3" t="n">
        <v>22.5</v>
      </c>
      <c r="I118" s="4" t="n">
        <v>0.1</v>
      </c>
      <c r="J118" s="3" t="n">
        <v>14</v>
      </c>
      <c r="K118" s="3">
        <f>G118*H118</f>
        <v/>
      </c>
      <c r="L118" s="3">
        <f>G118*J118</f>
        <v/>
      </c>
      <c r="M118" s="3">
        <f>K118-L118</f>
        <v/>
      </c>
      <c r="N118" s="5">
        <f>IFERROR(M118/K118,0)</f>
        <v/>
      </c>
    </row>
    <row r="119">
      <c r="A119" t="inlineStr">
        <is>
          <t>ORD-0118</t>
        </is>
      </c>
      <c r="B119" s="2" t="n">
        <v>45900</v>
      </c>
      <c r="C119" t="inlineStr">
        <is>
          <t>East</t>
        </is>
      </c>
      <c r="D119" t="inlineStr">
        <is>
          <t>Retail</t>
        </is>
      </c>
      <c r="E119" t="inlineStr">
        <is>
          <t>Headphones</t>
        </is>
      </c>
      <c r="F119" t="inlineStr">
        <is>
          <t>Electronics</t>
        </is>
      </c>
      <c r="G119" t="n">
        <v>6</v>
      </c>
      <c r="H119" s="3" t="n">
        <v>71.09999999999999</v>
      </c>
      <c r="I119" s="4" t="n">
        <v>0.1</v>
      </c>
      <c r="J119" s="3" t="n">
        <v>48</v>
      </c>
      <c r="K119" s="3">
        <f>G119*H119</f>
        <v/>
      </c>
      <c r="L119" s="3">
        <f>G119*J119</f>
        <v/>
      </c>
      <c r="M119" s="3">
        <f>K119-L119</f>
        <v/>
      </c>
      <c r="N119" s="5">
        <f>IFERROR(M119/K119,0)</f>
        <v/>
      </c>
    </row>
    <row r="120">
      <c r="A120" t="inlineStr">
        <is>
          <t>ORD-0119</t>
        </is>
      </c>
      <c r="B120" s="2" t="n">
        <v>45796</v>
      </c>
      <c r="C120" t="inlineStr">
        <is>
          <t>South</t>
        </is>
      </c>
      <c r="D120" t="inlineStr">
        <is>
          <t>Online</t>
        </is>
      </c>
      <c r="E120" t="inlineStr">
        <is>
          <t>Desk Lamp</t>
        </is>
      </c>
      <c r="F120" t="inlineStr">
        <is>
          <t>Office</t>
        </is>
      </c>
      <c r="G120" t="n">
        <v>5</v>
      </c>
      <c r="H120" s="3" t="n">
        <v>39.9</v>
      </c>
      <c r="I120" s="4" t="n">
        <v>0.05</v>
      </c>
      <c r="J120" s="3" t="n">
        <v>24</v>
      </c>
      <c r="K120" s="3">
        <f>G120*H120</f>
        <v/>
      </c>
      <c r="L120" s="3">
        <f>G120*J120</f>
        <v/>
      </c>
      <c r="M120" s="3">
        <f>K120-L120</f>
        <v/>
      </c>
      <c r="N120" s="5">
        <f>IFERROR(M120/K120,0)</f>
        <v/>
      </c>
    </row>
    <row r="121">
      <c r="A121" t="inlineStr">
        <is>
          <t>ORD-0120</t>
        </is>
      </c>
      <c r="B121" s="2" t="n">
        <v>45819</v>
      </c>
      <c r="C121" t="inlineStr">
        <is>
          <t>South</t>
        </is>
      </c>
      <c r="D121" t="inlineStr">
        <is>
          <t>Online</t>
        </is>
      </c>
      <c r="E121" t="inlineStr">
        <is>
          <t>Monitor</t>
        </is>
      </c>
      <c r="F121" t="inlineStr">
        <is>
          <t>Electronics</t>
        </is>
      </c>
      <c r="G121" t="n">
        <v>2</v>
      </c>
      <c r="H121" s="3" t="n">
        <v>187</v>
      </c>
      <c r="I121" s="4" t="n">
        <v>0.15</v>
      </c>
      <c r="J121" s="3" t="n">
        <v>145</v>
      </c>
      <c r="K121" s="3">
        <f>G121*H121</f>
        <v/>
      </c>
      <c r="L121" s="3">
        <f>G121*J121</f>
        <v/>
      </c>
      <c r="M121" s="3">
        <f>K121-L121</f>
        <v/>
      </c>
      <c r="N121" s="5">
        <f>IFERROR(M121/K121,0)</f>
        <v/>
      </c>
    </row>
    <row r="122">
      <c r="A122" t="inlineStr">
        <is>
          <t>ORD-0121</t>
        </is>
      </c>
      <c r="B122" s="2" t="n">
        <v>45905</v>
      </c>
      <c r="C122" t="inlineStr">
        <is>
          <t>East</t>
        </is>
      </c>
      <c r="D122" t="inlineStr">
        <is>
          <t>Online</t>
        </is>
      </c>
      <c r="E122" t="inlineStr">
        <is>
          <t>Monitor</t>
        </is>
      </c>
      <c r="F122" t="inlineStr">
        <is>
          <t>Electronics</t>
        </is>
      </c>
      <c r="G122" t="n">
        <v>5</v>
      </c>
      <c r="H122" s="3" t="n">
        <v>187</v>
      </c>
      <c r="I122" s="4" t="n">
        <v>0.15</v>
      </c>
      <c r="J122" s="3" t="n">
        <v>145</v>
      </c>
      <c r="K122" s="3">
        <f>G122*H122</f>
        <v/>
      </c>
      <c r="L122" s="3">
        <f>G122*J122</f>
        <v/>
      </c>
      <c r="M122" s="3">
        <f>K122-L122</f>
        <v/>
      </c>
      <c r="N122" s="5">
        <f>IFERROR(M122/K122,0)</f>
        <v/>
      </c>
    </row>
    <row r="123">
      <c r="A123" t="inlineStr">
        <is>
          <t>ORD-0122</t>
        </is>
      </c>
      <c r="B123" s="2" t="n">
        <v>45809</v>
      </c>
      <c r="C123" t="inlineStr">
        <is>
          <t>South</t>
        </is>
      </c>
      <c r="D123" t="inlineStr">
        <is>
          <t>Retail</t>
        </is>
      </c>
      <c r="E123" t="inlineStr">
        <is>
          <t>Monitor</t>
        </is>
      </c>
      <c r="F123" t="inlineStr">
        <is>
          <t>Electronics</t>
        </is>
      </c>
      <c r="G123" t="n">
        <v>4</v>
      </c>
      <c r="H123" s="3" t="n">
        <v>209</v>
      </c>
      <c r="I123" s="4" t="n">
        <v>0.05</v>
      </c>
      <c r="J123" s="3" t="n">
        <v>145</v>
      </c>
      <c r="K123" s="3">
        <f>G123*H123</f>
        <v/>
      </c>
      <c r="L123" s="3">
        <f>G123*J123</f>
        <v/>
      </c>
      <c r="M123" s="3">
        <f>K123-L123</f>
        <v/>
      </c>
      <c r="N123" s="5">
        <f>IFERROR(M123/K123,0)</f>
        <v/>
      </c>
    </row>
    <row r="124">
      <c r="A124" t="inlineStr">
        <is>
          <t>ORD-0123</t>
        </is>
      </c>
      <c r="B124" s="2" t="n">
        <v>46020</v>
      </c>
      <c r="C124" t="inlineStr">
        <is>
          <t>North</t>
        </is>
      </c>
      <c r="D124" t="inlineStr">
        <is>
          <t>Online</t>
        </is>
      </c>
      <c r="E124" t="inlineStr">
        <is>
          <t>Laptop Stand</t>
        </is>
      </c>
      <c r="F124" t="inlineStr">
        <is>
          <t>Accessories</t>
        </is>
      </c>
      <c r="G124" t="n">
        <v>3</v>
      </c>
      <c r="H124" s="3" t="n">
        <v>52.25</v>
      </c>
      <c r="I124" s="4" t="n">
        <v>0.05</v>
      </c>
      <c r="J124" s="3" t="n">
        <v>32</v>
      </c>
      <c r="K124" s="3">
        <f>G124*H124</f>
        <v/>
      </c>
      <c r="L124" s="3">
        <f>G124*J124</f>
        <v/>
      </c>
      <c r="M124" s="3">
        <f>K124-L124</f>
        <v/>
      </c>
      <c r="N124" s="5">
        <f>IFERROR(M124/K124,0)</f>
        <v/>
      </c>
    </row>
    <row r="125">
      <c r="A125" t="inlineStr">
        <is>
          <t>ORD-0124</t>
        </is>
      </c>
      <c r="B125" s="2" t="n">
        <v>46015</v>
      </c>
      <c r="C125" t="inlineStr">
        <is>
          <t>North</t>
        </is>
      </c>
      <c r="D125" t="inlineStr">
        <is>
          <t>Online</t>
        </is>
      </c>
      <c r="E125" t="inlineStr">
        <is>
          <t>USB-C Hub</t>
        </is>
      </c>
      <c r="F125" t="inlineStr">
        <is>
          <t>Electronics</t>
        </is>
      </c>
      <c r="G125" t="n">
        <v>3</v>
      </c>
      <c r="H125" s="3" t="n">
        <v>44.1</v>
      </c>
      <c r="I125" s="4" t="n">
        <v>0.1</v>
      </c>
      <c r="J125" s="3" t="n">
        <v>28</v>
      </c>
      <c r="K125" s="3">
        <f>G125*H125</f>
        <v/>
      </c>
      <c r="L125" s="3">
        <f>G125*J125</f>
        <v/>
      </c>
      <c r="M125" s="3">
        <f>K125-L125</f>
        <v/>
      </c>
      <c r="N125" s="5">
        <f>IFERROR(M125/K125,0)</f>
        <v/>
      </c>
    </row>
    <row r="126">
      <c r="A126" t="inlineStr">
        <is>
          <t>ORD-0125</t>
        </is>
      </c>
      <c r="B126" s="2" t="n">
        <v>45898</v>
      </c>
      <c r="C126" t="inlineStr">
        <is>
          <t>East</t>
        </is>
      </c>
      <c r="D126" t="inlineStr">
        <is>
          <t>Online</t>
        </is>
      </c>
      <c r="E126" t="inlineStr">
        <is>
          <t>USB-C Hub</t>
        </is>
      </c>
      <c r="F126" t="inlineStr">
        <is>
          <t>Electronics</t>
        </is>
      </c>
      <c r="G126" t="n">
        <v>8</v>
      </c>
      <c r="H126" s="3" t="n">
        <v>44.1</v>
      </c>
      <c r="I126" s="4" t="n">
        <v>0.1</v>
      </c>
      <c r="J126" s="3" t="n">
        <v>28</v>
      </c>
      <c r="K126" s="3">
        <f>G126*H126</f>
        <v/>
      </c>
      <c r="L126" s="3">
        <f>G126*J126</f>
        <v/>
      </c>
      <c r="M126" s="3">
        <f>K126-L126</f>
        <v/>
      </c>
      <c r="N126" s="5">
        <f>IFERROR(M126/K126,0)</f>
        <v/>
      </c>
    </row>
    <row r="127">
      <c r="A127" t="inlineStr">
        <is>
          <t>ORD-0126</t>
        </is>
      </c>
      <c r="B127" s="2" t="n">
        <v>45787</v>
      </c>
      <c r="C127" t="inlineStr">
        <is>
          <t>North</t>
        </is>
      </c>
      <c r="D127" t="inlineStr">
        <is>
          <t>Retail</t>
        </is>
      </c>
      <c r="E127" t="inlineStr">
        <is>
          <t>Laptop Stand</t>
        </is>
      </c>
      <c r="F127" t="inlineStr">
        <is>
          <t>Accessories</t>
        </is>
      </c>
      <c r="G127" t="n">
        <v>8</v>
      </c>
      <c r="H127" s="3" t="n">
        <v>55</v>
      </c>
      <c r="I127" s="4" t="n">
        <v>0</v>
      </c>
      <c r="J127" s="3" t="n">
        <v>32</v>
      </c>
      <c r="K127" s="3">
        <f>G127*H127</f>
        <v/>
      </c>
      <c r="L127" s="3">
        <f>G127*J127</f>
        <v/>
      </c>
      <c r="M127" s="3">
        <f>K127-L127</f>
        <v/>
      </c>
      <c r="N127" s="5">
        <f>IFERROR(M127/K127,0)</f>
        <v/>
      </c>
    </row>
    <row r="128">
      <c r="A128" t="inlineStr">
        <is>
          <t>ORD-0127</t>
        </is>
      </c>
      <c r="B128" s="2" t="n">
        <v>45695</v>
      </c>
      <c r="C128" t="inlineStr">
        <is>
          <t>South</t>
        </is>
      </c>
      <c r="D128" t="inlineStr">
        <is>
          <t>Corporate</t>
        </is>
      </c>
      <c r="E128" t="inlineStr">
        <is>
          <t>Desk Lamp</t>
        </is>
      </c>
      <c r="F128" t="inlineStr">
        <is>
          <t>Office</t>
        </is>
      </c>
      <c r="G128" t="n">
        <v>1</v>
      </c>
      <c r="H128" s="3" t="n">
        <v>42</v>
      </c>
      <c r="I128" s="4" t="n">
        <v>0</v>
      </c>
      <c r="J128" s="3" t="n">
        <v>24</v>
      </c>
      <c r="K128" s="3">
        <f>G128*H128</f>
        <v/>
      </c>
      <c r="L128" s="3">
        <f>G128*J128</f>
        <v/>
      </c>
      <c r="M128" s="3">
        <f>K128-L128</f>
        <v/>
      </c>
      <c r="N128" s="5">
        <f>IFERROR(M128/K128,0)</f>
        <v/>
      </c>
    </row>
    <row r="129">
      <c r="A129" t="inlineStr">
        <is>
          <t>ORD-0128</t>
        </is>
      </c>
      <c r="B129" s="2" t="n">
        <v>45701</v>
      </c>
      <c r="C129" t="inlineStr">
        <is>
          <t>West</t>
        </is>
      </c>
      <c r="D129" t="inlineStr">
        <is>
          <t>Corporate</t>
        </is>
      </c>
      <c r="E129" t="inlineStr">
        <is>
          <t>USB-C Hub</t>
        </is>
      </c>
      <c r="F129" t="inlineStr">
        <is>
          <t>Electronics</t>
        </is>
      </c>
      <c r="G129" t="n">
        <v>4</v>
      </c>
      <c r="H129" s="3" t="n">
        <v>49</v>
      </c>
      <c r="I129" s="4" t="n">
        <v>0</v>
      </c>
      <c r="J129" s="3" t="n">
        <v>28</v>
      </c>
      <c r="K129" s="3">
        <f>G129*H129</f>
        <v/>
      </c>
      <c r="L129" s="3">
        <f>G129*J129</f>
        <v/>
      </c>
      <c r="M129" s="3">
        <f>K129-L129</f>
        <v/>
      </c>
      <c r="N129" s="5">
        <f>IFERROR(M129/K129,0)</f>
        <v/>
      </c>
    </row>
    <row r="130">
      <c r="A130" t="inlineStr">
        <is>
          <t>ORD-0129</t>
        </is>
      </c>
      <c r="B130" s="2" t="n">
        <v>45925</v>
      </c>
      <c r="C130" t="inlineStr">
        <is>
          <t>West</t>
        </is>
      </c>
      <c r="D130" t="inlineStr">
        <is>
          <t>Retail</t>
        </is>
      </c>
      <c r="E130" t="inlineStr">
        <is>
          <t>Monitor</t>
        </is>
      </c>
      <c r="F130" t="inlineStr">
        <is>
          <t>Electronics</t>
        </is>
      </c>
      <c r="G130" t="n">
        <v>7</v>
      </c>
      <c r="H130" s="3" t="n">
        <v>198</v>
      </c>
      <c r="I130" s="4" t="n">
        <v>0.1</v>
      </c>
      <c r="J130" s="3" t="n">
        <v>145</v>
      </c>
      <c r="K130" s="3">
        <f>G130*H130</f>
        <v/>
      </c>
      <c r="L130" s="3">
        <f>G130*J130</f>
        <v/>
      </c>
      <c r="M130" s="3">
        <f>K130-L130</f>
        <v/>
      </c>
      <c r="N130" s="5">
        <f>IFERROR(M130/K130,0)</f>
        <v/>
      </c>
    </row>
    <row r="131">
      <c r="A131" t="inlineStr">
        <is>
          <t>ORD-0130</t>
        </is>
      </c>
      <c r="B131" s="2" t="n">
        <v>45814</v>
      </c>
      <c r="C131" t="inlineStr">
        <is>
          <t>North</t>
        </is>
      </c>
      <c r="D131" t="inlineStr">
        <is>
          <t>Online</t>
        </is>
      </c>
      <c r="E131" t="inlineStr">
        <is>
          <t>Notebook Set</t>
        </is>
      </c>
      <c r="F131" t="inlineStr">
        <is>
          <t>Stationery</t>
        </is>
      </c>
      <c r="G131" t="n">
        <v>1</v>
      </c>
      <c r="H131" s="3" t="n">
        <v>10.2</v>
      </c>
      <c r="I131" s="4" t="n">
        <v>0.15</v>
      </c>
      <c r="J131" s="3" t="n">
        <v>5</v>
      </c>
      <c r="K131" s="3">
        <f>G131*H131</f>
        <v/>
      </c>
      <c r="L131" s="3">
        <f>G131*J131</f>
        <v/>
      </c>
      <c r="M131" s="3">
        <f>K131-L131</f>
        <v/>
      </c>
      <c r="N131" s="5">
        <f>IFERROR(M131/K131,0)</f>
        <v/>
      </c>
    </row>
    <row r="132">
      <c r="A132" t="inlineStr">
        <is>
          <t>ORD-0131</t>
        </is>
      </c>
      <c r="B132" s="2" t="n">
        <v>45793</v>
      </c>
      <c r="C132" t="inlineStr">
        <is>
          <t>South</t>
        </is>
      </c>
      <c r="D132" t="inlineStr">
        <is>
          <t>Online</t>
        </is>
      </c>
      <c r="E132" t="inlineStr">
        <is>
          <t>Monitor</t>
        </is>
      </c>
      <c r="F132" t="inlineStr">
        <is>
          <t>Electronics</t>
        </is>
      </c>
      <c r="G132" t="n">
        <v>2</v>
      </c>
      <c r="H132" s="3" t="n">
        <v>220</v>
      </c>
      <c r="I132" s="4" t="n">
        <v>0</v>
      </c>
      <c r="J132" s="3" t="n">
        <v>145</v>
      </c>
      <c r="K132" s="3">
        <f>G132*H132</f>
        <v/>
      </c>
      <c r="L132" s="3">
        <f>G132*J132</f>
        <v/>
      </c>
      <c r="M132" s="3">
        <f>K132-L132</f>
        <v/>
      </c>
      <c r="N132" s="5">
        <f>IFERROR(M132/K132,0)</f>
        <v/>
      </c>
    </row>
    <row r="133">
      <c r="A133" t="inlineStr">
        <is>
          <t>ORD-0132</t>
        </is>
      </c>
      <c r="B133" s="2" t="n">
        <v>45738</v>
      </c>
      <c r="C133" t="inlineStr">
        <is>
          <t>West</t>
        </is>
      </c>
      <c r="D133" t="inlineStr">
        <is>
          <t>Corporate</t>
        </is>
      </c>
      <c r="E133" t="inlineStr">
        <is>
          <t>Wireless Mouse</t>
        </is>
      </c>
      <c r="F133" t="inlineStr">
        <is>
          <t>Accessories</t>
        </is>
      </c>
      <c r="G133" t="n">
        <v>1</v>
      </c>
      <c r="H133" s="3" t="n">
        <v>22.5</v>
      </c>
      <c r="I133" s="4" t="n">
        <v>0.1</v>
      </c>
      <c r="J133" s="3" t="n">
        <v>14</v>
      </c>
      <c r="K133" s="3">
        <f>G133*H133</f>
        <v/>
      </c>
      <c r="L133" s="3">
        <f>G133*J133</f>
        <v/>
      </c>
      <c r="M133" s="3">
        <f>K133-L133</f>
        <v/>
      </c>
      <c r="N133" s="5">
        <f>IFERROR(M133/K133,0)</f>
        <v/>
      </c>
    </row>
    <row r="134">
      <c r="A134" t="inlineStr">
        <is>
          <t>ORD-0133</t>
        </is>
      </c>
      <c r="B134" s="2" t="n">
        <v>45807</v>
      </c>
      <c r="C134" t="inlineStr">
        <is>
          <t>East</t>
        </is>
      </c>
      <c r="D134" t="inlineStr">
        <is>
          <t>Corporate</t>
        </is>
      </c>
      <c r="E134" t="inlineStr">
        <is>
          <t>Desk Lamp</t>
        </is>
      </c>
      <c r="F134" t="inlineStr">
        <is>
          <t>Office</t>
        </is>
      </c>
      <c r="G134" t="n">
        <v>1</v>
      </c>
      <c r="H134" s="3" t="n">
        <v>42</v>
      </c>
      <c r="I134" s="4" t="n">
        <v>0</v>
      </c>
      <c r="J134" s="3" t="n">
        <v>24</v>
      </c>
      <c r="K134" s="3">
        <f>G134*H134</f>
        <v/>
      </c>
      <c r="L134" s="3">
        <f>G134*J134</f>
        <v/>
      </c>
      <c r="M134" s="3">
        <f>K134-L134</f>
        <v/>
      </c>
      <c r="N134" s="5">
        <f>IFERROR(M134/K134,0)</f>
        <v/>
      </c>
    </row>
    <row r="135">
      <c r="A135" t="inlineStr">
        <is>
          <t>ORD-0134</t>
        </is>
      </c>
      <c r="B135" s="2" t="n">
        <v>46017</v>
      </c>
      <c r="C135" t="inlineStr">
        <is>
          <t>South</t>
        </is>
      </c>
      <c r="D135" t="inlineStr">
        <is>
          <t>Retail</t>
        </is>
      </c>
      <c r="E135" t="inlineStr">
        <is>
          <t>USB-C Hub</t>
        </is>
      </c>
      <c r="F135" t="inlineStr">
        <is>
          <t>Electronics</t>
        </is>
      </c>
      <c r="G135" t="n">
        <v>8</v>
      </c>
      <c r="H135" s="3" t="n">
        <v>49</v>
      </c>
      <c r="I135" s="4" t="n">
        <v>0</v>
      </c>
      <c r="J135" s="3" t="n">
        <v>28</v>
      </c>
      <c r="K135" s="3">
        <f>G135*H135</f>
        <v/>
      </c>
      <c r="L135" s="3">
        <f>G135*J135</f>
        <v/>
      </c>
      <c r="M135" s="3">
        <f>K135-L135</f>
        <v/>
      </c>
      <c r="N135" s="5">
        <f>IFERROR(M135/K135,0)</f>
        <v/>
      </c>
    </row>
    <row r="136">
      <c r="A136" t="inlineStr">
        <is>
          <t>ORD-0135</t>
        </is>
      </c>
      <c r="B136" s="2" t="n">
        <v>45875</v>
      </c>
      <c r="C136" t="inlineStr">
        <is>
          <t>South</t>
        </is>
      </c>
      <c r="D136" t="inlineStr">
        <is>
          <t>Corporate</t>
        </is>
      </c>
      <c r="E136" t="inlineStr">
        <is>
          <t>Monitor</t>
        </is>
      </c>
      <c r="F136" t="inlineStr">
        <is>
          <t>Electronics</t>
        </is>
      </c>
      <c r="G136" t="n">
        <v>2</v>
      </c>
      <c r="H136" s="3" t="n">
        <v>187</v>
      </c>
      <c r="I136" s="4" t="n">
        <v>0.15</v>
      </c>
      <c r="J136" s="3" t="n">
        <v>145</v>
      </c>
      <c r="K136" s="3">
        <f>G136*H136</f>
        <v/>
      </c>
      <c r="L136" s="3">
        <f>G136*J136</f>
        <v/>
      </c>
      <c r="M136" s="3">
        <f>K136-L136</f>
        <v/>
      </c>
      <c r="N136" s="5">
        <f>IFERROR(M136/K136,0)</f>
        <v/>
      </c>
    </row>
    <row r="137">
      <c r="A137" t="inlineStr">
        <is>
          <t>ORD-0136</t>
        </is>
      </c>
      <c r="B137" s="2" t="n">
        <v>45794</v>
      </c>
      <c r="C137" t="inlineStr">
        <is>
          <t>North</t>
        </is>
      </c>
      <c r="D137" t="inlineStr">
        <is>
          <t>Online</t>
        </is>
      </c>
      <c r="E137" t="inlineStr">
        <is>
          <t>Keyboard</t>
        </is>
      </c>
      <c r="F137" t="inlineStr">
        <is>
          <t>Accessories</t>
        </is>
      </c>
      <c r="G137" t="n">
        <v>3</v>
      </c>
      <c r="H137" s="3" t="n">
        <v>39</v>
      </c>
      <c r="I137" s="4" t="n">
        <v>0</v>
      </c>
      <c r="J137" s="3" t="n">
        <v>22</v>
      </c>
      <c r="K137" s="3">
        <f>G137*H137</f>
        <v/>
      </c>
      <c r="L137" s="3">
        <f>G137*J137</f>
        <v/>
      </c>
      <c r="M137" s="3">
        <f>K137-L137</f>
        <v/>
      </c>
      <c r="N137" s="5">
        <f>IFERROR(M137/K137,0)</f>
        <v/>
      </c>
    </row>
    <row r="138">
      <c r="A138" t="inlineStr">
        <is>
          <t>ORD-0137</t>
        </is>
      </c>
      <c r="B138" s="2" t="n">
        <v>45962</v>
      </c>
      <c r="C138" t="inlineStr">
        <is>
          <t>North</t>
        </is>
      </c>
      <c r="D138" t="inlineStr">
        <is>
          <t>Retail</t>
        </is>
      </c>
      <c r="E138" t="inlineStr">
        <is>
          <t>USB-C Hub</t>
        </is>
      </c>
      <c r="F138" t="inlineStr">
        <is>
          <t>Electronics</t>
        </is>
      </c>
      <c r="G138" t="n">
        <v>5</v>
      </c>
      <c r="H138" s="3" t="n">
        <v>44.1</v>
      </c>
      <c r="I138" s="4" t="n">
        <v>0.1</v>
      </c>
      <c r="J138" s="3" t="n">
        <v>28</v>
      </c>
      <c r="K138" s="3">
        <f>G138*H138</f>
        <v/>
      </c>
      <c r="L138" s="3">
        <f>G138*J138</f>
        <v/>
      </c>
      <c r="M138" s="3">
        <f>K138-L138</f>
        <v/>
      </c>
      <c r="N138" s="5">
        <f>IFERROR(M138/K138,0)</f>
        <v/>
      </c>
    </row>
    <row r="139">
      <c r="A139" t="inlineStr">
        <is>
          <t>ORD-0138</t>
        </is>
      </c>
      <c r="B139" s="2" t="n">
        <v>46016</v>
      </c>
      <c r="C139" t="inlineStr">
        <is>
          <t>West</t>
        </is>
      </c>
      <c r="D139" t="inlineStr">
        <is>
          <t>Retail</t>
        </is>
      </c>
      <c r="E139" t="inlineStr">
        <is>
          <t>USB-C Hub</t>
        </is>
      </c>
      <c r="F139" t="inlineStr">
        <is>
          <t>Electronics</t>
        </is>
      </c>
      <c r="G139" t="n">
        <v>7</v>
      </c>
      <c r="H139" s="3" t="n">
        <v>46.55</v>
      </c>
      <c r="I139" s="4" t="n">
        <v>0.05</v>
      </c>
      <c r="J139" s="3" t="n">
        <v>28</v>
      </c>
      <c r="K139" s="3">
        <f>G139*H139</f>
        <v/>
      </c>
      <c r="L139" s="3">
        <f>G139*J139</f>
        <v/>
      </c>
      <c r="M139" s="3">
        <f>K139-L139</f>
        <v/>
      </c>
      <c r="N139" s="5">
        <f>IFERROR(M139/K139,0)</f>
        <v/>
      </c>
    </row>
    <row r="140">
      <c r="A140" t="inlineStr">
        <is>
          <t>ORD-0139</t>
        </is>
      </c>
      <c r="B140" s="2" t="n">
        <v>45964</v>
      </c>
      <c r="C140" t="inlineStr">
        <is>
          <t>East</t>
        </is>
      </c>
      <c r="D140" t="inlineStr">
        <is>
          <t>Corporate</t>
        </is>
      </c>
      <c r="E140" t="inlineStr">
        <is>
          <t>Wireless Mouse</t>
        </is>
      </c>
      <c r="F140" t="inlineStr">
        <is>
          <t>Accessories</t>
        </is>
      </c>
      <c r="G140" t="n">
        <v>1</v>
      </c>
      <c r="H140" s="3" t="n">
        <v>22.5</v>
      </c>
      <c r="I140" s="4" t="n">
        <v>0.1</v>
      </c>
      <c r="J140" s="3" t="n">
        <v>14</v>
      </c>
      <c r="K140" s="3">
        <f>G140*H140</f>
        <v/>
      </c>
      <c r="L140" s="3">
        <f>G140*J140</f>
        <v/>
      </c>
      <c r="M140" s="3">
        <f>K140-L140</f>
        <v/>
      </c>
      <c r="N140" s="5">
        <f>IFERROR(M140/K140,0)</f>
        <v/>
      </c>
    </row>
    <row r="141">
      <c r="A141" t="inlineStr">
        <is>
          <t>ORD-0140</t>
        </is>
      </c>
      <c r="B141" s="2" t="n">
        <v>45671</v>
      </c>
      <c r="C141" t="inlineStr">
        <is>
          <t>North</t>
        </is>
      </c>
      <c r="D141" t="inlineStr">
        <is>
          <t>Corporate</t>
        </is>
      </c>
      <c r="E141" t="inlineStr">
        <is>
          <t>USB-C Hub</t>
        </is>
      </c>
      <c r="F141" t="inlineStr">
        <is>
          <t>Electronics</t>
        </is>
      </c>
      <c r="G141" t="n">
        <v>2</v>
      </c>
      <c r="H141" s="3" t="n">
        <v>49</v>
      </c>
      <c r="I141" s="4" t="n">
        <v>0</v>
      </c>
      <c r="J141" s="3" t="n">
        <v>28</v>
      </c>
      <c r="K141" s="3">
        <f>G141*H141</f>
        <v/>
      </c>
      <c r="L141" s="3">
        <f>G141*J141</f>
        <v/>
      </c>
      <c r="M141" s="3">
        <f>K141-L141</f>
        <v/>
      </c>
      <c r="N141" s="5">
        <f>IFERROR(M141/K141,0)</f>
        <v/>
      </c>
    </row>
    <row r="142">
      <c r="A142" t="inlineStr">
        <is>
          <t>ORD-0141</t>
        </is>
      </c>
      <c r="B142" s="2" t="n">
        <v>45953</v>
      </c>
      <c r="C142" t="inlineStr">
        <is>
          <t>West</t>
        </is>
      </c>
      <c r="D142" t="inlineStr">
        <is>
          <t>Corporate</t>
        </is>
      </c>
      <c r="E142" t="inlineStr">
        <is>
          <t>USB-C Hub</t>
        </is>
      </c>
      <c r="F142" t="inlineStr">
        <is>
          <t>Electronics</t>
        </is>
      </c>
      <c r="G142" t="n">
        <v>1</v>
      </c>
      <c r="H142" s="3" t="n">
        <v>49</v>
      </c>
      <c r="I142" s="4" t="n">
        <v>0</v>
      </c>
      <c r="J142" s="3" t="n">
        <v>28</v>
      </c>
      <c r="K142" s="3">
        <f>G142*H142</f>
        <v/>
      </c>
      <c r="L142" s="3">
        <f>G142*J142</f>
        <v/>
      </c>
      <c r="M142" s="3">
        <f>K142-L142</f>
        <v/>
      </c>
      <c r="N142" s="5">
        <f>IFERROR(M142/K142,0)</f>
        <v/>
      </c>
    </row>
    <row r="143">
      <c r="A143" t="inlineStr">
        <is>
          <t>ORD-0142</t>
        </is>
      </c>
      <c r="B143" s="2" t="n">
        <v>45800</v>
      </c>
      <c r="C143" t="inlineStr">
        <is>
          <t>West</t>
        </is>
      </c>
      <c r="D143" t="inlineStr">
        <is>
          <t>Corporate</t>
        </is>
      </c>
      <c r="E143" t="inlineStr">
        <is>
          <t>Desk Lamp</t>
        </is>
      </c>
      <c r="F143" t="inlineStr">
        <is>
          <t>Office</t>
        </is>
      </c>
      <c r="G143" t="n">
        <v>3</v>
      </c>
      <c r="H143" s="3" t="n">
        <v>35.7</v>
      </c>
      <c r="I143" s="4" t="n">
        <v>0.15</v>
      </c>
      <c r="J143" s="3" t="n">
        <v>24</v>
      </c>
      <c r="K143" s="3">
        <f>G143*H143</f>
        <v/>
      </c>
      <c r="L143" s="3">
        <f>G143*J143</f>
        <v/>
      </c>
      <c r="M143" s="3">
        <f>K143-L143</f>
        <v/>
      </c>
      <c r="N143" s="5">
        <f>IFERROR(M143/K143,0)</f>
        <v/>
      </c>
    </row>
    <row r="144">
      <c r="A144" t="inlineStr">
        <is>
          <t>ORD-0143</t>
        </is>
      </c>
      <c r="B144" s="2" t="n">
        <v>45704</v>
      </c>
      <c r="C144" t="inlineStr">
        <is>
          <t>West</t>
        </is>
      </c>
      <c r="D144" t="inlineStr">
        <is>
          <t>Retail</t>
        </is>
      </c>
      <c r="E144" t="inlineStr">
        <is>
          <t>Desk Lamp</t>
        </is>
      </c>
      <c r="F144" t="inlineStr">
        <is>
          <t>Office</t>
        </is>
      </c>
      <c r="G144" t="n">
        <v>8</v>
      </c>
      <c r="H144" s="3" t="n">
        <v>39.9</v>
      </c>
      <c r="I144" s="4" t="n">
        <v>0.05</v>
      </c>
      <c r="J144" s="3" t="n">
        <v>24</v>
      </c>
      <c r="K144" s="3">
        <f>G144*H144</f>
        <v/>
      </c>
      <c r="L144" s="3">
        <f>G144*J144</f>
        <v/>
      </c>
      <c r="M144" s="3">
        <f>K144-L144</f>
        <v/>
      </c>
      <c r="N144" s="5">
        <f>IFERROR(M144/K144,0)</f>
        <v/>
      </c>
    </row>
    <row r="145">
      <c r="A145" t="inlineStr">
        <is>
          <t>ORD-0144</t>
        </is>
      </c>
      <c r="B145" s="2" t="n">
        <v>46001</v>
      </c>
      <c r="C145" t="inlineStr">
        <is>
          <t>East</t>
        </is>
      </c>
      <c r="D145" t="inlineStr">
        <is>
          <t>Retail</t>
        </is>
      </c>
      <c r="E145" t="inlineStr">
        <is>
          <t>Headphones</t>
        </is>
      </c>
      <c r="F145" t="inlineStr">
        <is>
          <t>Electronics</t>
        </is>
      </c>
      <c r="G145" t="n">
        <v>2</v>
      </c>
      <c r="H145" s="3" t="n">
        <v>79</v>
      </c>
      <c r="I145" s="4" t="n">
        <v>0</v>
      </c>
      <c r="J145" s="3" t="n">
        <v>48</v>
      </c>
      <c r="K145" s="3">
        <f>G145*H145</f>
        <v/>
      </c>
      <c r="L145" s="3">
        <f>G145*J145</f>
        <v/>
      </c>
      <c r="M145" s="3">
        <f>K145-L145</f>
        <v/>
      </c>
      <c r="N145" s="5">
        <f>IFERROR(M145/K145,0)</f>
        <v/>
      </c>
    </row>
    <row r="146">
      <c r="A146" t="inlineStr">
        <is>
          <t>ORD-0145</t>
        </is>
      </c>
      <c r="B146" s="2" t="n">
        <v>45805</v>
      </c>
      <c r="C146" t="inlineStr">
        <is>
          <t>North</t>
        </is>
      </c>
      <c r="D146" t="inlineStr">
        <is>
          <t>Retail</t>
        </is>
      </c>
      <c r="E146" t="inlineStr">
        <is>
          <t>Desk Lamp</t>
        </is>
      </c>
      <c r="F146" t="inlineStr">
        <is>
          <t>Office</t>
        </is>
      </c>
      <c r="G146" t="n">
        <v>7</v>
      </c>
      <c r="H146" s="3" t="n">
        <v>35.7</v>
      </c>
      <c r="I146" s="4" t="n">
        <v>0.15</v>
      </c>
      <c r="J146" s="3" t="n">
        <v>24</v>
      </c>
      <c r="K146" s="3">
        <f>G146*H146</f>
        <v/>
      </c>
      <c r="L146" s="3">
        <f>G146*J146</f>
        <v/>
      </c>
      <c r="M146" s="3">
        <f>K146-L146</f>
        <v/>
      </c>
      <c r="N146" s="5">
        <f>IFERROR(M146/K146,0)</f>
        <v/>
      </c>
    </row>
    <row r="147">
      <c r="A147" t="inlineStr">
        <is>
          <t>ORD-0146</t>
        </is>
      </c>
      <c r="B147" s="2" t="n">
        <v>45819</v>
      </c>
      <c r="C147" t="inlineStr">
        <is>
          <t>North</t>
        </is>
      </c>
      <c r="D147" t="inlineStr">
        <is>
          <t>Retail</t>
        </is>
      </c>
      <c r="E147" t="inlineStr">
        <is>
          <t>Wireless Mouse</t>
        </is>
      </c>
      <c r="F147" t="inlineStr">
        <is>
          <t>Accessories</t>
        </is>
      </c>
      <c r="G147" t="n">
        <v>5</v>
      </c>
      <c r="H147" s="3" t="n">
        <v>23.75</v>
      </c>
      <c r="I147" s="4" t="n">
        <v>0.05</v>
      </c>
      <c r="J147" s="3" t="n">
        <v>14</v>
      </c>
      <c r="K147" s="3">
        <f>G147*H147</f>
        <v/>
      </c>
      <c r="L147" s="3">
        <f>G147*J147</f>
        <v/>
      </c>
      <c r="M147" s="3">
        <f>K147-L147</f>
        <v/>
      </c>
      <c r="N147" s="5">
        <f>IFERROR(M147/K147,0)</f>
        <v/>
      </c>
    </row>
    <row r="148">
      <c r="A148" t="inlineStr">
        <is>
          <t>ORD-0147</t>
        </is>
      </c>
      <c r="B148" s="2" t="n">
        <v>45994</v>
      </c>
      <c r="C148" t="inlineStr">
        <is>
          <t>North</t>
        </is>
      </c>
      <c r="D148" t="inlineStr">
        <is>
          <t>Online</t>
        </is>
      </c>
      <c r="E148" t="inlineStr">
        <is>
          <t>Laptop Stand</t>
        </is>
      </c>
      <c r="F148" t="inlineStr">
        <is>
          <t>Accessories</t>
        </is>
      </c>
      <c r="G148" t="n">
        <v>8</v>
      </c>
      <c r="H148" s="3" t="n">
        <v>49.5</v>
      </c>
      <c r="I148" s="4" t="n">
        <v>0.1</v>
      </c>
      <c r="J148" s="3" t="n">
        <v>32</v>
      </c>
      <c r="K148" s="3">
        <f>G148*H148</f>
        <v/>
      </c>
      <c r="L148" s="3">
        <f>G148*J148</f>
        <v/>
      </c>
      <c r="M148" s="3">
        <f>K148-L148</f>
        <v/>
      </c>
      <c r="N148" s="5">
        <f>IFERROR(M148/K148,0)</f>
        <v/>
      </c>
    </row>
    <row r="149">
      <c r="A149" t="inlineStr">
        <is>
          <t>ORD-0148</t>
        </is>
      </c>
      <c r="B149" s="2" t="n">
        <v>45976</v>
      </c>
      <c r="C149" t="inlineStr">
        <is>
          <t>North</t>
        </is>
      </c>
      <c r="D149" t="inlineStr">
        <is>
          <t>Online</t>
        </is>
      </c>
      <c r="E149" t="inlineStr">
        <is>
          <t>Headphones</t>
        </is>
      </c>
      <c r="F149" t="inlineStr">
        <is>
          <t>Electronics</t>
        </is>
      </c>
      <c r="G149" t="n">
        <v>8</v>
      </c>
      <c r="H149" s="3" t="n">
        <v>71.09999999999999</v>
      </c>
      <c r="I149" s="4" t="n">
        <v>0.1</v>
      </c>
      <c r="J149" s="3" t="n">
        <v>48</v>
      </c>
      <c r="K149" s="3">
        <f>G149*H149</f>
        <v/>
      </c>
      <c r="L149" s="3">
        <f>G149*J149</f>
        <v/>
      </c>
      <c r="M149" s="3">
        <f>K149-L149</f>
        <v/>
      </c>
      <c r="N149" s="5">
        <f>IFERROR(M149/K149,0)</f>
        <v/>
      </c>
    </row>
    <row r="150">
      <c r="A150" t="inlineStr">
        <is>
          <t>ORD-0149</t>
        </is>
      </c>
      <c r="B150" s="2" t="n">
        <v>45939</v>
      </c>
      <c r="C150" t="inlineStr">
        <is>
          <t>West</t>
        </is>
      </c>
      <c r="D150" t="inlineStr">
        <is>
          <t>Corporate</t>
        </is>
      </c>
      <c r="E150" t="inlineStr">
        <is>
          <t>USB-C Hub</t>
        </is>
      </c>
      <c r="F150" t="inlineStr">
        <is>
          <t>Electronics</t>
        </is>
      </c>
      <c r="G150" t="n">
        <v>3</v>
      </c>
      <c r="H150" s="3" t="n">
        <v>46.55</v>
      </c>
      <c r="I150" s="4" t="n">
        <v>0.05</v>
      </c>
      <c r="J150" s="3" t="n">
        <v>28</v>
      </c>
      <c r="K150" s="3">
        <f>G150*H150</f>
        <v/>
      </c>
      <c r="L150" s="3">
        <f>G150*J150</f>
        <v/>
      </c>
      <c r="M150" s="3">
        <f>K150-L150</f>
        <v/>
      </c>
      <c r="N150" s="5">
        <f>IFERROR(M150/K150,0)</f>
        <v/>
      </c>
    </row>
    <row r="151">
      <c r="A151" t="inlineStr">
        <is>
          <t>ORD-0150</t>
        </is>
      </c>
      <c r="B151" s="2" t="n">
        <v>45720</v>
      </c>
      <c r="C151" t="inlineStr">
        <is>
          <t>South</t>
        </is>
      </c>
      <c r="D151" t="inlineStr">
        <is>
          <t>Corporate</t>
        </is>
      </c>
      <c r="E151" t="inlineStr">
        <is>
          <t>Desk Lamp</t>
        </is>
      </c>
      <c r="F151" t="inlineStr">
        <is>
          <t>Office</t>
        </is>
      </c>
      <c r="G151" t="n">
        <v>1</v>
      </c>
      <c r="H151" s="3" t="n">
        <v>35.7</v>
      </c>
      <c r="I151" s="4" t="n">
        <v>0.15</v>
      </c>
      <c r="J151" s="3" t="n">
        <v>24</v>
      </c>
      <c r="K151" s="3">
        <f>G151*H151</f>
        <v/>
      </c>
      <c r="L151" s="3">
        <f>G151*J151</f>
        <v/>
      </c>
      <c r="M151" s="3">
        <f>K151-L151</f>
        <v/>
      </c>
      <c r="N151" s="5">
        <f>IFERROR(M151/K151,0)</f>
        <v/>
      </c>
    </row>
    <row r="152">
      <c r="A152" t="inlineStr">
        <is>
          <t>ORD-0151</t>
        </is>
      </c>
      <c r="B152" s="2" t="n">
        <v>45817</v>
      </c>
      <c r="C152" t="inlineStr">
        <is>
          <t>West</t>
        </is>
      </c>
      <c r="D152" t="inlineStr">
        <is>
          <t>Online</t>
        </is>
      </c>
      <c r="E152" t="inlineStr">
        <is>
          <t>Keyboard</t>
        </is>
      </c>
      <c r="F152" t="inlineStr">
        <is>
          <t>Accessories</t>
        </is>
      </c>
      <c r="G152" t="n">
        <v>1</v>
      </c>
      <c r="H152" s="3" t="n">
        <v>33.15</v>
      </c>
      <c r="I152" s="4" t="n">
        <v>0.15</v>
      </c>
      <c r="J152" s="3" t="n">
        <v>22</v>
      </c>
      <c r="K152" s="3">
        <f>G152*H152</f>
        <v/>
      </c>
      <c r="L152" s="3">
        <f>G152*J152</f>
        <v/>
      </c>
      <c r="M152" s="3">
        <f>K152-L152</f>
        <v/>
      </c>
      <c r="N152" s="5">
        <f>IFERROR(M152/K152,0)</f>
        <v/>
      </c>
    </row>
    <row r="153">
      <c r="A153" t="inlineStr">
        <is>
          <t>ORD-0152</t>
        </is>
      </c>
      <c r="B153" s="2" t="n">
        <v>45716</v>
      </c>
      <c r="C153" t="inlineStr">
        <is>
          <t>South</t>
        </is>
      </c>
      <c r="D153" t="inlineStr">
        <is>
          <t>Retail</t>
        </is>
      </c>
      <c r="E153" t="inlineStr">
        <is>
          <t>Monitor</t>
        </is>
      </c>
      <c r="F153" t="inlineStr">
        <is>
          <t>Electronics</t>
        </is>
      </c>
      <c r="G153" t="n">
        <v>8</v>
      </c>
      <c r="H153" s="3" t="n">
        <v>220</v>
      </c>
      <c r="I153" s="4" t="n">
        <v>0</v>
      </c>
      <c r="J153" s="3" t="n">
        <v>145</v>
      </c>
      <c r="K153" s="3">
        <f>G153*H153</f>
        <v/>
      </c>
      <c r="L153" s="3">
        <f>G153*J153</f>
        <v/>
      </c>
      <c r="M153" s="3">
        <f>K153-L153</f>
        <v/>
      </c>
      <c r="N153" s="5">
        <f>IFERROR(M153/K153,0)</f>
        <v/>
      </c>
    </row>
    <row r="154">
      <c r="A154" t="inlineStr">
        <is>
          <t>ORD-0153</t>
        </is>
      </c>
      <c r="B154" s="2" t="n">
        <v>45918</v>
      </c>
      <c r="C154" t="inlineStr">
        <is>
          <t>West</t>
        </is>
      </c>
      <c r="D154" t="inlineStr">
        <is>
          <t>Retail</t>
        </is>
      </c>
      <c r="E154" t="inlineStr">
        <is>
          <t>USB-C Hub</t>
        </is>
      </c>
      <c r="F154" t="inlineStr">
        <is>
          <t>Electronics</t>
        </is>
      </c>
      <c r="G154" t="n">
        <v>5</v>
      </c>
      <c r="H154" s="3" t="n">
        <v>44.1</v>
      </c>
      <c r="I154" s="4" t="n">
        <v>0.1</v>
      </c>
      <c r="J154" s="3" t="n">
        <v>28</v>
      </c>
      <c r="K154" s="3">
        <f>G154*H154</f>
        <v/>
      </c>
      <c r="L154" s="3">
        <f>G154*J154</f>
        <v/>
      </c>
      <c r="M154" s="3">
        <f>K154-L154</f>
        <v/>
      </c>
      <c r="N154" s="5">
        <f>IFERROR(M154/K154,0)</f>
        <v/>
      </c>
    </row>
    <row r="155">
      <c r="A155" t="inlineStr">
        <is>
          <t>ORD-0154</t>
        </is>
      </c>
      <c r="B155" s="2" t="n">
        <v>45891</v>
      </c>
      <c r="C155" t="inlineStr">
        <is>
          <t>South</t>
        </is>
      </c>
      <c r="D155" t="inlineStr">
        <is>
          <t>Corporate</t>
        </is>
      </c>
      <c r="E155" t="inlineStr">
        <is>
          <t>Monitor</t>
        </is>
      </c>
      <c r="F155" t="inlineStr">
        <is>
          <t>Electronics</t>
        </is>
      </c>
      <c r="G155" t="n">
        <v>3</v>
      </c>
      <c r="H155" s="3" t="n">
        <v>198</v>
      </c>
      <c r="I155" s="4" t="n">
        <v>0.1</v>
      </c>
      <c r="J155" s="3" t="n">
        <v>145</v>
      </c>
      <c r="K155" s="3">
        <f>G155*H155</f>
        <v/>
      </c>
      <c r="L155" s="3">
        <f>G155*J155</f>
        <v/>
      </c>
      <c r="M155" s="3">
        <f>K155-L155</f>
        <v/>
      </c>
      <c r="N155" s="5">
        <f>IFERROR(M155/K155,0)</f>
        <v/>
      </c>
    </row>
    <row r="156">
      <c r="A156" t="inlineStr">
        <is>
          <t>ORD-0155</t>
        </is>
      </c>
      <c r="B156" s="2" t="n">
        <v>45693</v>
      </c>
      <c r="C156" t="inlineStr">
        <is>
          <t>East</t>
        </is>
      </c>
      <c r="D156" t="inlineStr">
        <is>
          <t>Corporate</t>
        </is>
      </c>
      <c r="E156" t="inlineStr">
        <is>
          <t>Keyboard</t>
        </is>
      </c>
      <c r="F156" t="inlineStr">
        <is>
          <t>Accessories</t>
        </is>
      </c>
      <c r="G156" t="n">
        <v>5</v>
      </c>
      <c r="H156" s="3" t="n">
        <v>35.1</v>
      </c>
      <c r="I156" s="4" t="n">
        <v>0.1</v>
      </c>
      <c r="J156" s="3" t="n">
        <v>22</v>
      </c>
      <c r="K156" s="3">
        <f>G156*H156</f>
        <v/>
      </c>
      <c r="L156" s="3">
        <f>G156*J156</f>
        <v/>
      </c>
      <c r="M156" s="3">
        <f>K156-L156</f>
        <v/>
      </c>
      <c r="N156" s="5">
        <f>IFERROR(M156/K156,0)</f>
        <v/>
      </c>
    </row>
    <row r="157">
      <c r="A157" t="inlineStr">
        <is>
          <t>ORD-0156</t>
        </is>
      </c>
      <c r="B157" s="2" t="n">
        <v>45659</v>
      </c>
      <c r="C157" t="inlineStr">
        <is>
          <t>West</t>
        </is>
      </c>
      <c r="D157" t="inlineStr">
        <is>
          <t>Online</t>
        </is>
      </c>
      <c r="E157" t="inlineStr">
        <is>
          <t>USB-C Hub</t>
        </is>
      </c>
      <c r="F157" t="inlineStr">
        <is>
          <t>Electronics</t>
        </is>
      </c>
      <c r="G157" t="n">
        <v>5</v>
      </c>
      <c r="H157" s="3" t="n">
        <v>46.55</v>
      </c>
      <c r="I157" s="4" t="n">
        <v>0.05</v>
      </c>
      <c r="J157" s="3" t="n">
        <v>28</v>
      </c>
      <c r="K157" s="3">
        <f>G157*H157</f>
        <v/>
      </c>
      <c r="L157" s="3">
        <f>G157*J157</f>
        <v/>
      </c>
      <c r="M157" s="3">
        <f>K157-L157</f>
        <v/>
      </c>
      <c r="N157" s="5">
        <f>IFERROR(M157/K157,0)</f>
        <v/>
      </c>
    </row>
    <row r="158">
      <c r="A158" t="inlineStr">
        <is>
          <t>ORD-0157</t>
        </is>
      </c>
      <c r="B158" s="2" t="n">
        <v>45933</v>
      </c>
      <c r="C158" t="inlineStr">
        <is>
          <t>East</t>
        </is>
      </c>
      <c r="D158" t="inlineStr">
        <is>
          <t>Corporate</t>
        </is>
      </c>
      <c r="E158" t="inlineStr">
        <is>
          <t>Desk Lamp</t>
        </is>
      </c>
      <c r="F158" t="inlineStr">
        <is>
          <t>Office</t>
        </is>
      </c>
      <c r="G158" t="n">
        <v>8</v>
      </c>
      <c r="H158" s="3" t="n">
        <v>39.9</v>
      </c>
      <c r="I158" s="4" t="n">
        <v>0.05</v>
      </c>
      <c r="J158" s="3" t="n">
        <v>24</v>
      </c>
      <c r="K158" s="3">
        <f>G158*H158</f>
        <v/>
      </c>
      <c r="L158" s="3">
        <f>G158*J158</f>
        <v/>
      </c>
      <c r="M158" s="3">
        <f>K158-L158</f>
        <v/>
      </c>
      <c r="N158" s="5">
        <f>IFERROR(M158/K158,0)</f>
        <v/>
      </c>
    </row>
    <row r="159">
      <c r="A159" t="inlineStr">
        <is>
          <t>ORD-0158</t>
        </is>
      </c>
      <c r="B159" s="2" t="n">
        <v>45891</v>
      </c>
      <c r="C159" t="inlineStr">
        <is>
          <t>South</t>
        </is>
      </c>
      <c r="D159" t="inlineStr">
        <is>
          <t>Corporate</t>
        </is>
      </c>
      <c r="E159" t="inlineStr">
        <is>
          <t>Notebook Set</t>
        </is>
      </c>
      <c r="F159" t="inlineStr">
        <is>
          <t>Stationery</t>
        </is>
      </c>
      <c r="G159" t="n">
        <v>6</v>
      </c>
      <c r="H159" s="3" t="n">
        <v>12</v>
      </c>
      <c r="I159" s="4" t="n">
        <v>0</v>
      </c>
      <c r="J159" s="3" t="n">
        <v>5</v>
      </c>
      <c r="K159" s="3">
        <f>G159*H159</f>
        <v/>
      </c>
      <c r="L159" s="3">
        <f>G159*J159</f>
        <v/>
      </c>
      <c r="M159" s="3">
        <f>K159-L159</f>
        <v/>
      </c>
      <c r="N159" s="5">
        <f>IFERROR(M159/K159,0)</f>
        <v/>
      </c>
    </row>
    <row r="160">
      <c r="A160" t="inlineStr">
        <is>
          <t>ORD-0159</t>
        </is>
      </c>
      <c r="B160" s="2" t="n">
        <v>45777</v>
      </c>
      <c r="C160" t="inlineStr">
        <is>
          <t>East</t>
        </is>
      </c>
      <c r="D160" t="inlineStr">
        <is>
          <t>Corporate</t>
        </is>
      </c>
      <c r="E160" t="inlineStr">
        <is>
          <t>Notebook Set</t>
        </is>
      </c>
      <c r="F160" t="inlineStr">
        <is>
          <t>Stationery</t>
        </is>
      </c>
      <c r="G160" t="n">
        <v>7</v>
      </c>
      <c r="H160" s="3" t="n">
        <v>12</v>
      </c>
      <c r="I160" s="4" t="n">
        <v>0</v>
      </c>
      <c r="J160" s="3" t="n">
        <v>5</v>
      </c>
      <c r="K160" s="3">
        <f>G160*H160</f>
        <v/>
      </c>
      <c r="L160" s="3">
        <f>G160*J160</f>
        <v/>
      </c>
      <c r="M160" s="3">
        <f>K160-L160</f>
        <v/>
      </c>
      <c r="N160" s="5">
        <f>IFERROR(M160/K160,0)</f>
        <v/>
      </c>
    </row>
    <row r="161">
      <c r="A161" t="inlineStr">
        <is>
          <t>ORD-0160</t>
        </is>
      </c>
      <c r="B161" s="2" t="n">
        <v>46019</v>
      </c>
      <c r="C161" t="inlineStr">
        <is>
          <t>South</t>
        </is>
      </c>
      <c r="D161" t="inlineStr">
        <is>
          <t>Retail</t>
        </is>
      </c>
      <c r="E161" t="inlineStr">
        <is>
          <t>Desk Lamp</t>
        </is>
      </c>
      <c r="F161" t="inlineStr">
        <is>
          <t>Office</t>
        </is>
      </c>
      <c r="G161" t="n">
        <v>7</v>
      </c>
      <c r="H161" s="3" t="n">
        <v>37.8</v>
      </c>
      <c r="I161" s="4" t="n">
        <v>0.1</v>
      </c>
      <c r="J161" s="3" t="n">
        <v>24</v>
      </c>
      <c r="K161" s="3">
        <f>G161*H161</f>
        <v/>
      </c>
      <c r="L161" s="3">
        <f>G161*J161</f>
        <v/>
      </c>
      <c r="M161" s="3">
        <f>K161-L161</f>
        <v/>
      </c>
      <c r="N161" s="5">
        <f>IFERROR(M161/K161,0)</f>
        <v/>
      </c>
    </row>
    <row r="162">
      <c r="A162" t="inlineStr">
        <is>
          <t>ORD-0161</t>
        </is>
      </c>
      <c r="B162" s="2" t="n">
        <v>45722</v>
      </c>
      <c r="C162" t="inlineStr">
        <is>
          <t>West</t>
        </is>
      </c>
      <c r="D162" t="inlineStr">
        <is>
          <t>Online</t>
        </is>
      </c>
      <c r="E162" t="inlineStr">
        <is>
          <t>Laptop Stand</t>
        </is>
      </c>
      <c r="F162" t="inlineStr">
        <is>
          <t>Accessories</t>
        </is>
      </c>
      <c r="G162" t="n">
        <v>6</v>
      </c>
      <c r="H162" s="3" t="n">
        <v>55</v>
      </c>
      <c r="I162" s="4" t="n">
        <v>0</v>
      </c>
      <c r="J162" s="3" t="n">
        <v>32</v>
      </c>
      <c r="K162" s="3">
        <f>G162*H162</f>
        <v/>
      </c>
      <c r="L162" s="3">
        <f>G162*J162</f>
        <v/>
      </c>
      <c r="M162" s="3">
        <f>K162-L162</f>
        <v/>
      </c>
      <c r="N162" s="5">
        <f>IFERROR(M162/K162,0)</f>
        <v/>
      </c>
    </row>
    <row r="163">
      <c r="A163" t="inlineStr">
        <is>
          <t>ORD-0162</t>
        </is>
      </c>
      <c r="B163" s="2" t="n">
        <v>45665</v>
      </c>
      <c r="C163" t="inlineStr">
        <is>
          <t>South</t>
        </is>
      </c>
      <c r="D163" t="inlineStr">
        <is>
          <t>Online</t>
        </is>
      </c>
      <c r="E163" t="inlineStr">
        <is>
          <t>Desk Lamp</t>
        </is>
      </c>
      <c r="F163" t="inlineStr">
        <is>
          <t>Office</t>
        </is>
      </c>
      <c r="G163" t="n">
        <v>3</v>
      </c>
      <c r="H163" s="3" t="n">
        <v>37.8</v>
      </c>
      <c r="I163" s="4" t="n">
        <v>0.1</v>
      </c>
      <c r="J163" s="3" t="n">
        <v>24</v>
      </c>
      <c r="K163" s="3">
        <f>G163*H163</f>
        <v/>
      </c>
      <c r="L163" s="3">
        <f>G163*J163</f>
        <v/>
      </c>
      <c r="M163" s="3">
        <f>K163-L163</f>
        <v/>
      </c>
      <c r="N163" s="5">
        <f>IFERROR(M163/K163,0)</f>
        <v/>
      </c>
    </row>
    <row r="164">
      <c r="A164" t="inlineStr">
        <is>
          <t>ORD-0163</t>
        </is>
      </c>
      <c r="B164" s="2" t="n">
        <v>45793</v>
      </c>
      <c r="C164" t="inlineStr">
        <is>
          <t>West</t>
        </is>
      </c>
      <c r="D164" t="inlineStr">
        <is>
          <t>Corporate</t>
        </is>
      </c>
      <c r="E164" t="inlineStr">
        <is>
          <t>Desk Lamp</t>
        </is>
      </c>
      <c r="F164" t="inlineStr">
        <is>
          <t>Office</t>
        </is>
      </c>
      <c r="G164" t="n">
        <v>6</v>
      </c>
      <c r="H164" s="3" t="n">
        <v>35.7</v>
      </c>
      <c r="I164" s="4" t="n">
        <v>0.15</v>
      </c>
      <c r="J164" s="3" t="n">
        <v>24</v>
      </c>
      <c r="K164" s="3">
        <f>G164*H164</f>
        <v/>
      </c>
      <c r="L164" s="3">
        <f>G164*J164</f>
        <v/>
      </c>
      <c r="M164" s="3">
        <f>K164-L164</f>
        <v/>
      </c>
      <c r="N164" s="5">
        <f>IFERROR(M164/K164,0)</f>
        <v/>
      </c>
    </row>
    <row r="165">
      <c r="A165" t="inlineStr">
        <is>
          <t>ORD-0164</t>
        </is>
      </c>
      <c r="B165" s="2" t="n">
        <v>45826</v>
      </c>
      <c r="C165" t="inlineStr">
        <is>
          <t>West</t>
        </is>
      </c>
      <c r="D165" t="inlineStr">
        <is>
          <t>Corporate</t>
        </is>
      </c>
      <c r="E165" t="inlineStr">
        <is>
          <t>Wireless Mouse</t>
        </is>
      </c>
      <c r="F165" t="inlineStr">
        <is>
          <t>Accessories</t>
        </is>
      </c>
      <c r="G165" t="n">
        <v>7</v>
      </c>
      <c r="H165" s="3" t="n">
        <v>23.75</v>
      </c>
      <c r="I165" s="4" t="n">
        <v>0.05</v>
      </c>
      <c r="J165" s="3" t="n">
        <v>14</v>
      </c>
      <c r="K165" s="3">
        <f>G165*H165</f>
        <v/>
      </c>
      <c r="L165" s="3">
        <f>G165*J165</f>
        <v/>
      </c>
      <c r="M165" s="3">
        <f>K165-L165</f>
        <v/>
      </c>
      <c r="N165" s="5">
        <f>IFERROR(M165/K165,0)</f>
        <v/>
      </c>
    </row>
    <row r="166">
      <c r="A166" t="inlineStr">
        <is>
          <t>ORD-0165</t>
        </is>
      </c>
      <c r="B166" s="2" t="n">
        <v>45974</v>
      </c>
      <c r="C166" t="inlineStr">
        <is>
          <t>East</t>
        </is>
      </c>
      <c r="D166" t="inlineStr">
        <is>
          <t>Online</t>
        </is>
      </c>
      <c r="E166" t="inlineStr">
        <is>
          <t>Laptop Stand</t>
        </is>
      </c>
      <c r="F166" t="inlineStr">
        <is>
          <t>Accessories</t>
        </is>
      </c>
      <c r="G166" t="n">
        <v>2</v>
      </c>
      <c r="H166" s="3" t="n">
        <v>55</v>
      </c>
      <c r="I166" s="4" t="n">
        <v>0</v>
      </c>
      <c r="J166" s="3" t="n">
        <v>32</v>
      </c>
      <c r="K166" s="3">
        <f>G166*H166</f>
        <v/>
      </c>
      <c r="L166" s="3">
        <f>G166*J166</f>
        <v/>
      </c>
      <c r="M166" s="3">
        <f>K166-L166</f>
        <v/>
      </c>
      <c r="N166" s="5">
        <f>IFERROR(M166/K166,0)</f>
        <v/>
      </c>
    </row>
    <row r="167">
      <c r="A167" t="inlineStr">
        <is>
          <t>ORD-0166</t>
        </is>
      </c>
      <c r="B167" s="2" t="n">
        <v>45880</v>
      </c>
      <c r="C167" t="inlineStr">
        <is>
          <t>West</t>
        </is>
      </c>
      <c r="D167" t="inlineStr">
        <is>
          <t>Online</t>
        </is>
      </c>
      <c r="E167" t="inlineStr">
        <is>
          <t>Wireless Mouse</t>
        </is>
      </c>
      <c r="F167" t="inlineStr">
        <is>
          <t>Accessories</t>
        </is>
      </c>
      <c r="G167" t="n">
        <v>2</v>
      </c>
      <c r="H167" s="3" t="n">
        <v>25</v>
      </c>
      <c r="I167" s="4" t="n">
        <v>0</v>
      </c>
      <c r="J167" s="3" t="n">
        <v>14</v>
      </c>
      <c r="K167" s="3">
        <f>G167*H167</f>
        <v/>
      </c>
      <c r="L167" s="3">
        <f>G167*J167</f>
        <v/>
      </c>
      <c r="M167" s="3">
        <f>K167-L167</f>
        <v/>
      </c>
      <c r="N167" s="5">
        <f>IFERROR(M167/K167,0)</f>
        <v/>
      </c>
    </row>
    <row r="168">
      <c r="A168" t="inlineStr">
        <is>
          <t>ORD-0167</t>
        </is>
      </c>
      <c r="B168" s="2" t="n">
        <v>45672</v>
      </c>
      <c r="C168" t="inlineStr">
        <is>
          <t>North</t>
        </is>
      </c>
      <c r="D168" t="inlineStr">
        <is>
          <t>Retail</t>
        </is>
      </c>
      <c r="E168" t="inlineStr">
        <is>
          <t>USB-C Hub</t>
        </is>
      </c>
      <c r="F168" t="inlineStr">
        <is>
          <t>Electronics</t>
        </is>
      </c>
      <c r="G168" t="n">
        <v>1</v>
      </c>
      <c r="H168" s="3" t="n">
        <v>46.55</v>
      </c>
      <c r="I168" s="4" t="n">
        <v>0.05</v>
      </c>
      <c r="J168" s="3" t="n">
        <v>28</v>
      </c>
      <c r="K168" s="3">
        <f>G168*H168</f>
        <v/>
      </c>
      <c r="L168" s="3">
        <f>G168*J168</f>
        <v/>
      </c>
      <c r="M168" s="3">
        <f>K168-L168</f>
        <v/>
      </c>
      <c r="N168" s="5">
        <f>IFERROR(M168/K168,0)</f>
        <v/>
      </c>
    </row>
    <row r="169">
      <c r="A169" t="inlineStr">
        <is>
          <t>ORD-0168</t>
        </is>
      </c>
      <c r="B169" s="2" t="n">
        <v>45849</v>
      </c>
      <c r="C169" t="inlineStr">
        <is>
          <t>South</t>
        </is>
      </c>
      <c r="D169" t="inlineStr">
        <is>
          <t>Corporate</t>
        </is>
      </c>
      <c r="E169" t="inlineStr">
        <is>
          <t>Headphones</t>
        </is>
      </c>
      <c r="F169" t="inlineStr">
        <is>
          <t>Electronics</t>
        </is>
      </c>
      <c r="G169" t="n">
        <v>7</v>
      </c>
      <c r="H169" s="3" t="n">
        <v>79</v>
      </c>
      <c r="I169" s="4" t="n">
        <v>0</v>
      </c>
      <c r="J169" s="3" t="n">
        <v>48</v>
      </c>
      <c r="K169" s="3">
        <f>G169*H169</f>
        <v/>
      </c>
      <c r="L169" s="3">
        <f>G169*J169</f>
        <v/>
      </c>
      <c r="M169" s="3">
        <f>K169-L169</f>
        <v/>
      </c>
      <c r="N169" s="5">
        <f>IFERROR(M169/K169,0)</f>
        <v/>
      </c>
    </row>
    <row r="170">
      <c r="A170" t="inlineStr">
        <is>
          <t>ORD-0169</t>
        </is>
      </c>
      <c r="B170" s="2" t="n">
        <v>45947</v>
      </c>
      <c r="C170" t="inlineStr">
        <is>
          <t>South</t>
        </is>
      </c>
      <c r="D170" t="inlineStr">
        <is>
          <t>Online</t>
        </is>
      </c>
      <c r="E170" t="inlineStr">
        <is>
          <t>Notebook Set</t>
        </is>
      </c>
      <c r="F170" t="inlineStr">
        <is>
          <t>Stationery</t>
        </is>
      </c>
      <c r="G170" t="n">
        <v>3</v>
      </c>
      <c r="H170" s="3" t="n">
        <v>12</v>
      </c>
      <c r="I170" s="4" t="n">
        <v>0</v>
      </c>
      <c r="J170" s="3" t="n">
        <v>5</v>
      </c>
      <c r="K170" s="3">
        <f>G170*H170</f>
        <v/>
      </c>
      <c r="L170" s="3">
        <f>G170*J170</f>
        <v/>
      </c>
      <c r="M170" s="3">
        <f>K170-L170</f>
        <v/>
      </c>
      <c r="N170" s="5">
        <f>IFERROR(M170/K170,0)</f>
        <v/>
      </c>
    </row>
    <row r="171">
      <c r="A171" t="inlineStr">
        <is>
          <t>ORD-0170</t>
        </is>
      </c>
      <c r="B171" s="2" t="n">
        <v>45975</v>
      </c>
      <c r="C171" t="inlineStr">
        <is>
          <t>South</t>
        </is>
      </c>
      <c r="D171" t="inlineStr">
        <is>
          <t>Online</t>
        </is>
      </c>
      <c r="E171" t="inlineStr">
        <is>
          <t>Notebook Set</t>
        </is>
      </c>
      <c r="F171" t="inlineStr">
        <is>
          <t>Stationery</t>
        </is>
      </c>
      <c r="G171" t="n">
        <v>4</v>
      </c>
      <c r="H171" s="3" t="n">
        <v>10.8</v>
      </c>
      <c r="I171" s="4" t="n">
        <v>0.1</v>
      </c>
      <c r="J171" s="3" t="n">
        <v>5</v>
      </c>
      <c r="K171" s="3">
        <f>G171*H171</f>
        <v/>
      </c>
      <c r="L171" s="3">
        <f>G171*J171</f>
        <v/>
      </c>
      <c r="M171" s="3">
        <f>K171-L171</f>
        <v/>
      </c>
      <c r="N171" s="5">
        <f>IFERROR(M171/K171,0)</f>
        <v/>
      </c>
    </row>
    <row r="172">
      <c r="A172" t="inlineStr">
        <is>
          <t>ORD-0171</t>
        </is>
      </c>
      <c r="B172" s="2" t="n">
        <v>45984</v>
      </c>
      <c r="C172" t="inlineStr">
        <is>
          <t>East</t>
        </is>
      </c>
      <c r="D172" t="inlineStr">
        <is>
          <t>Corporate</t>
        </is>
      </c>
      <c r="E172" t="inlineStr">
        <is>
          <t>Desk Lamp</t>
        </is>
      </c>
      <c r="F172" t="inlineStr">
        <is>
          <t>Office</t>
        </is>
      </c>
      <c r="G172" t="n">
        <v>5</v>
      </c>
      <c r="H172" s="3" t="n">
        <v>37.8</v>
      </c>
      <c r="I172" s="4" t="n">
        <v>0.1</v>
      </c>
      <c r="J172" s="3" t="n">
        <v>24</v>
      </c>
      <c r="K172" s="3">
        <f>G172*H172</f>
        <v/>
      </c>
      <c r="L172" s="3">
        <f>G172*J172</f>
        <v/>
      </c>
      <c r="M172" s="3">
        <f>K172-L172</f>
        <v/>
      </c>
      <c r="N172" s="5">
        <f>IFERROR(M172/K172,0)</f>
        <v/>
      </c>
    </row>
    <row r="173">
      <c r="A173" t="inlineStr">
        <is>
          <t>ORD-0172</t>
        </is>
      </c>
      <c r="B173" s="2" t="n">
        <v>45896</v>
      </c>
      <c r="C173" t="inlineStr">
        <is>
          <t>South</t>
        </is>
      </c>
      <c r="D173" t="inlineStr">
        <is>
          <t>Online</t>
        </is>
      </c>
      <c r="E173" t="inlineStr">
        <is>
          <t>Laptop Stand</t>
        </is>
      </c>
      <c r="F173" t="inlineStr">
        <is>
          <t>Accessories</t>
        </is>
      </c>
      <c r="G173" t="n">
        <v>5</v>
      </c>
      <c r="H173" s="3" t="n">
        <v>46.75</v>
      </c>
      <c r="I173" s="4" t="n">
        <v>0.15</v>
      </c>
      <c r="J173" s="3" t="n">
        <v>32</v>
      </c>
      <c r="K173" s="3">
        <f>G173*H173</f>
        <v/>
      </c>
      <c r="L173" s="3">
        <f>G173*J173</f>
        <v/>
      </c>
      <c r="M173" s="3">
        <f>K173-L173</f>
        <v/>
      </c>
      <c r="N173" s="5">
        <f>IFERROR(M173/K173,0)</f>
        <v/>
      </c>
    </row>
    <row r="174">
      <c r="A174" t="inlineStr">
        <is>
          <t>ORD-0173</t>
        </is>
      </c>
      <c r="B174" s="2" t="n">
        <v>45834</v>
      </c>
      <c r="C174" t="inlineStr">
        <is>
          <t>East</t>
        </is>
      </c>
      <c r="D174" t="inlineStr">
        <is>
          <t>Retail</t>
        </is>
      </c>
      <c r="E174" t="inlineStr">
        <is>
          <t>Desk Lamp</t>
        </is>
      </c>
      <c r="F174" t="inlineStr">
        <is>
          <t>Office</t>
        </is>
      </c>
      <c r="G174" t="n">
        <v>5</v>
      </c>
      <c r="H174" s="3" t="n">
        <v>37.8</v>
      </c>
      <c r="I174" s="4" t="n">
        <v>0.1</v>
      </c>
      <c r="J174" s="3" t="n">
        <v>24</v>
      </c>
      <c r="K174" s="3">
        <f>G174*H174</f>
        <v/>
      </c>
      <c r="L174" s="3">
        <f>G174*J174</f>
        <v/>
      </c>
      <c r="M174" s="3">
        <f>K174-L174</f>
        <v/>
      </c>
      <c r="N174" s="5">
        <f>IFERROR(M174/K174,0)</f>
        <v/>
      </c>
    </row>
    <row r="175">
      <c r="A175" t="inlineStr">
        <is>
          <t>ORD-0174</t>
        </is>
      </c>
      <c r="B175" s="2" t="n">
        <v>45759</v>
      </c>
      <c r="C175" t="inlineStr">
        <is>
          <t>North</t>
        </is>
      </c>
      <c r="D175" t="inlineStr">
        <is>
          <t>Online</t>
        </is>
      </c>
      <c r="E175" t="inlineStr">
        <is>
          <t>USB-C Hub</t>
        </is>
      </c>
      <c r="F175" t="inlineStr">
        <is>
          <t>Electronics</t>
        </is>
      </c>
      <c r="G175" t="n">
        <v>7</v>
      </c>
      <c r="H175" s="3" t="n">
        <v>44.1</v>
      </c>
      <c r="I175" s="4" t="n">
        <v>0.1</v>
      </c>
      <c r="J175" s="3" t="n">
        <v>28</v>
      </c>
      <c r="K175" s="3">
        <f>G175*H175</f>
        <v/>
      </c>
      <c r="L175" s="3">
        <f>G175*J175</f>
        <v/>
      </c>
      <c r="M175" s="3">
        <f>K175-L175</f>
        <v/>
      </c>
      <c r="N175" s="5">
        <f>IFERROR(M175/K175,0)</f>
        <v/>
      </c>
    </row>
    <row r="176">
      <c r="A176" t="inlineStr">
        <is>
          <t>ORD-0175</t>
        </is>
      </c>
      <c r="B176" s="2" t="n">
        <v>45950</v>
      </c>
      <c r="C176" t="inlineStr">
        <is>
          <t>East</t>
        </is>
      </c>
      <c r="D176" t="inlineStr">
        <is>
          <t>Corporate</t>
        </is>
      </c>
      <c r="E176" t="inlineStr">
        <is>
          <t>Notebook Set</t>
        </is>
      </c>
      <c r="F176" t="inlineStr">
        <is>
          <t>Stationery</t>
        </is>
      </c>
      <c r="G176" t="n">
        <v>6</v>
      </c>
      <c r="H176" s="3" t="n">
        <v>10.2</v>
      </c>
      <c r="I176" s="4" t="n">
        <v>0.15</v>
      </c>
      <c r="J176" s="3" t="n">
        <v>5</v>
      </c>
      <c r="K176" s="3">
        <f>G176*H176</f>
        <v/>
      </c>
      <c r="L176" s="3">
        <f>G176*J176</f>
        <v/>
      </c>
      <c r="M176" s="3">
        <f>K176-L176</f>
        <v/>
      </c>
      <c r="N176" s="5">
        <f>IFERROR(M176/K176,0)</f>
        <v/>
      </c>
    </row>
    <row r="177">
      <c r="A177" t="inlineStr">
        <is>
          <t>ORD-0176</t>
        </is>
      </c>
      <c r="B177" s="2" t="n">
        <v>45669</v>
      </c>
      <c r="C177" t="inlineStr">
        <is>
          <t>North</t>
        </is>
      </c>
      <c r="D177" t="inlineStr">
        <is>
          <t>Corporate</t>
        </is>
      </c>
      <c r="E177" t="inlineStr">
        <is>
          <t>USB-C Hub</t>
        </is>
      </c>
      <c r="F177" t="inlineStr">
        <is>
          <t>Electronics</t>
        </is>
      </c>
      <c r="G177" t="n">
        <v>7</v>
      </c>
      <c r="H177" s="3" t="n">
        <v>46.55</v>
      </c>
      <c r="I177" s="4" t="n">
        <v>0.05</v>
      </c>
      <c r="J177" s="3" t="n">
        <v>28</v>
      </c>
      <c r="K177" s="3">
        <f>G177*H177</f>
        <v/>
      </c>
      <c r="L177" s="3">
        <f>G177*J177</f>
        <v/>
      </c>
      <c r="M177" s="3">
        <f>K177-L177</f>
        <v/>
      </c>
      <c r="N177" s="5">
        <f>IFERROR(M177/K177,0)</f>
        <v/>
      </c>
    </row>
    <row r="178">
      <c r="A178" t="inlineStr">
        <is>
          <t>ORD-0177</t>
        </is>
      </c>
      <c r="B178" s="2" t="n">
        <v>45968</v>
      </c>
      <c r="C178" t="inlineStr">
        <is>
          <t>South</t>
        </is>
      </c>
      <c r="D178" t="inlineStr">
        <is>
          <t>Corporate</t>
        </is>
      </c>
      <c r="E178" t="inlineStr">
        <is>
          <t>Laptop Stand</t>
        </is>
      </c>
      <c r="F178" t="inlineStr">
        <is>
          <t>Accessories</t>
        </is>
      </c>
      <c r="G178" t="n">
        <v>8</v>
      </c>
      <c r="H178" s="3" t="n">
        <v>52.25</v>
      </c>
      <c r="I178" s="4" t="n">
        <v>0.05</v>
      </c>
      <c r="J178" s="3" t="n">
        <v>32</v>
      </c>
      <c r="K178" s="3">
        <f>G178*H178</f>
        <v/>
      </c>
      <c r="L178" s="3">
        <f>G178*J178</f>
        <v/>
      </c>
      <c r="M178" s="3">
        <f>K178-L178</f>
        <v/>
      </c>
      <c r="N178" s="5">
        <f>IFERROR(M178/K178,0)</f>
        <v/>
      </c>
    </row>
    <row r="179">
      <c r="A179" t="inlineStr">
        <is>
          <t>ORD-0178</t>
        </is>
      </c>
      <c r="B179" s="2" t="n">
        <v>45770</v>
      </c>
      <c r="C179" t="inlineStr">
        <is>
          <t>East</t>
        </is>
      </c>
      <c r="D179" t="inlineStr">
        <is>
          <t>Corporate</t>
        </is>
      </c>
      <c r="E179" t="inlineStr">
        <is>
          <t>Headphones</t>
        </is>
      </c>
      <c r="F179" t="inlineStr">
        <is>
          <t>Electronics</t>
        </is>
      </c>
      <c r="G179" t="n">
        <v>4</v>
      </c>
      <c r="H179" s="3" t="n">
        <v>67.15000000000001</v>
      </c>
      <c r="I179" s="4" t="n">
        <v>0.15</v>
      </c>
      <c r="J179" s="3" t="n">
        <v>48</v>
      </c>
      <c r="K179" s="3">
        <f>G179*H179</f>
        <v/>
      </c>
      <c r="L179" s="3">
        <f>G179*J179</f>
        <v/>
      </c>
      <c r="M179" s="3">
        <f>K179-L179</f>
        <v/>
      </c>
      <c r="N179" s="5">
        <f>IFERROR(M179/K179,0)</f>
        <v/>
      </c>
    </row>
    <row r="180">
      <c r="A180" t="inlineStr">
        <is>
          <t>ORD-0179</t>
        </is>
      </c>
      <c r="B180" s="2" t="n">
        <v>45979</v>
      </c>
      <c r="C180" t="inlineStr">
        <is>
          <t>East</t>
        </is>
      </c>
      <c r="D180" t="inlineStr">
        <is>
          <t>Retail</t>
        </is>
      </c>
      <c r="E180" t="inlineStr">
        <is>
          <t>Keyboard</t>
        </is>
      </c>
      <c r="F180" t="inlineStr">
        <is>
          <t>Accessories</t>
        </is>
      </c>
      <c r="G180" t="n">
        <v>2</v>
      </c>
      <c r="H180" s="3" t="n">
        <v>39</v>
      </c>
      <c r="I180" s="4" t="n">
        <v>0</v>
      </c>
      <c r="J180" s="3" t="n">
        <v>22</v>
      </c>
      <c r="K180" s="3">
        <f>G180*H180</f>
        <v/>
      </c>
      <c r="L180" s="3">
        <f>G180*J180</f>
        <v/>
      </c>
      <c r="M180" s="3">
        <f>K180-L180</f>
        <v/>
      </c>
      <c r="N180" s="5">
        <f>IFERROR(M180/K180,0)</f>
        <v/>
      </c>
    </row>
    <row r="181">
      <c r="A181" t="inlineStr">
        <is>
          <t>ORD-0180</t>
        </is>
      </c>
      <c r="B181" s="2" t="n">
        <v>45954</v>
      </c>
      <c r="C181" t="inlineStr">
        <is>
          <t>North</t>
        </is>
      </c>
      <c r="D181" t="inlineStr">
        <is>
          <t>Retail</t>
        </is>
      </c>
      <c r="E181" t="inlineStr">
        <is>
          <t>Laptop Stand</t>
        </is>
      </c>
      <c r="F181" t="inlineStr">
        <is>
          <t>Accessories</t>
        </is>
      </c>
      <c r="G181" t="n">
        <v>6</v>
      </c>
      <c r="H181" s="3" t="n">
        <v>55</v>
      </c>
      <c r="I181" s="4" t="n">
        <v>0</v>
      </c>
      <c r="J181" s="3" t="n">
        <v>32</v>
      </c>
      <c r="K181" s="3">
        <f>G181*H181</f>
        <v/>
      </c>
      <c r="L181" s="3">
        <f>G181*J181</f>
        <v/>
      </c>
      <c r="M181" s="3">
        <f>K181-L181</f>
        <v/>
      </c>
      <c r="N181" s="5">
        <f>IFERROR(M181/K181,0)</f>
        <v/>
      </c>
    </row>
    <row r="182">
      <c r="A182" t="inlineStr">
        <is>
          <t>ORD-0181</t>
        </is>
      </c>
      <c r="B182" s="2" t="n">
        <v>45870</v>
      </c>
      <c r="C182" t="inlineStr">
        <is>
          <t>South</t>
        </is>
      </c>
      <c r="D182" t="inlineStr">
        <is>
          <t>Corporate</t>
        </is>
      </c>
      <c r="E182" t="inlineStr">
        <is>
          <t>Headphones</t>
        </is>
      </c>
      <c r="F182" t="inlineStr">
        <is>
          <t>Electronics</t>
        </is>
      </c>
      <c r="G182" t="n">
        <v>3</v>
      </c>
      <c r="H182" s="3" t="n">
        <v>79</v>
      </c>
      <c r="I182" s="4" t="n">
        <v>0</v>
      </c>
      <c r="J182" s="3" t="n">
        <v>48</v>
      </c>
      <c r="K182" s="3">
        <f>G182*H182</f>
        <v/>
      </c>
      <c r="L182" s="3">
        <f>G182*J182</f>
        <v/>
      </c>
      <c r="M182" s="3">
        <f>K182-L182</f>
        <v/>
      </c>
      <c r="N182" s="5">
        <f>IFERROR(M182/K182,0)</f>
        <v/>
      </c>
    </row>
    <row r="183">
      <c r="A183" t="inlineStr">
        <is>
          <t>ORD-0182</t>
        </is>
      </c>
      <c r="B183" s="2" t="n">
        <v>45929</v>
      </c>
      <c r="C183" t="inlineStr">
        <is>
          <t>East</t>
        </is>
      </c>
      <c r="D183" t="inlineStr">
        <is>
          <t>Retail</t>
        </is>
      </c>
      <c r="E183" t="inlineStr">
        <is>
          <t>Headphones</t>
        </is>
      </c>
      <c r="F183" t="inlineStr">
        <is>
          <t>Electronics</t>
        </is>
      </c>
      <c r="G183" t="n">
        <v>5</v>
      </c>
      <c r="H183" s="3" t="n">
        <v>79</v>
      </c>
      <c r="I183" s="4" t="n">
        <v>0</v>
      </c>
      <c r="J183" s="3" t="n">
        <v>48</v>
      </c>
      <c r="K183" s="3">
        <f>G183*H183</f>
        <v/>
      </c>
      <c r="L183" s="3">
        <f>G183*J183</f>
        <v/>
      </c>
      <c r="M183" s="3">
        <f>K183-L183</f>
        <v/>
      </c>
      <c r="N183" s="5">
        <f>IFERROR(M183/K183,0)</f>
        <v/>
      </c>
    </row>
    <row r="184">
      <c r="A184" t="inlineStr">
        <is>
          <t>ORD-0183</t>
        </is>
      </c>
      <c r="B184" s="2" t="n">
        <v>45831</v>
      </c>
      <c r="C184" t="inlineStr">
        <is>
          <t>North</t>
        </is>
      </c>
      <c r="D184" t="inlineStr">
        <is>
          <t>Online</t>
        </is>
      </c>
      <c r="E184" t="inlineStr">
        <is>
          <t>USB-C Hub</t>
        </is>
      </c>
      <c r="F184" t="inlineStr">
        <is>
          <t>Electronics</t>
        </is>
      </c>
      <c r="G184" t="n">
        <v>2</v>
      </c>
      <c r="H184" s="3" t="n">
        <v>44.1</v>
      </c>
      <c r="I184" s="4" t="n">
        <v>0.1</v>
      </c>
      <c r="J184" s="3" t="n">
        <v>28</v>
      </c>
      <c r="K184" s="3">
        <f>G184*H184</f>
        <v/>
      </c>
      <c r="L184" s="3">
        <f>G184*J184</f>
        <v/>
      </c>
      <c r="M184" s="3">
        <f>K184-L184</f>
        <v/>
      </c>
      <c r="N184" s="5">
        <f>IFERROR(M184/K184,0)</f>
        <v/>
      </c>
    </row>
    <row r="185">
      <c r="A185" t="inlineStr">
        <is>
          <t>ORD-0184</t>
        </is>
      </c>
      <c r="B185" s="2" t="n">
        <v>46004</v>
      </c>
      <c r="C185" t="inlineStr">
        <is>
          <t>East</t>
        </is>
      </c>
      <c r="D185" t="inlineStr">
        <is>
          <t>Online</t>
        </is>
      </c>
      <c r="E185" t="inlineStr">
        <is>
          <t>Monitor</t>
        </is>
      </c>
      <c r="F185" t="inlineStr">
        <is>
          <t>Electronics</t>
        </is>
      </c>
      <c r="G185" t="n">
        <v>7</v>
      </c>
      <c r="H185" s="3" t="n">
        <v>187</v>
      </c>
      <c r="I185" s="4" t="n">
        <v>0.15</v>
      </c>
      <c r="J185" s="3" t="n">
        <v>145</v>
      </c>
      <c r="K185" s="3">
        <f>G185*H185</f>
        <v/>
      </c>
      <c r="L185" s="3">
        <f>G185*J185</f>
        <v/>
      </c>
      <c r="M185" s="3">
        <f>K185-L185</f>
        <v/>
      </c>
      <c r="N185" s="5">
        <f>IFERROR(M185/K185,0)</f>
        <v/>
      </c>
    </row>
    <row r="186">
      <c r="A186" t="inlineStr">
        <is>
          <t>ORD-0185</t>
        </is>
      </c>
      <c r="B186" s="2" t="n">
        <v>45665</v>
      </c>
      <c r="C186" t="inlineStr">
        <is>
          <t>North</t>
        </is>
      </c>
      <c r="D186" t="inlineStr">
        <is>
          <t>Retail</t>
        </is>
      </c>
      <c r="E186" t="inlineStr">
        <is>
          <t>Notebook Set</t>
        </is>
      </c>
      <c r="F186" t="inlineStr">
        <is>
          <t>Stationery</t>
        </is>
      </c>
      <c r="G186" t="n">
        <v>5</v>
      </c>
      <c r="H186" s="3" t="n">
        <v>10.2</v>
      </c>
      <c r="I186" s="4" t="n">
        <v>0.15</v>
      </c>
      <c r="J186" s="3" t="n">
        <v>5</v>
      </c>
      <c r="K186" s="3">
        <f>G186*H186</f>
        <v/>
      </c>
      <c r="L186" s="3">
        <f>G186*J186</f>
        <v/>
      </c>
      <c r="M186" s="3">
        <f>K186-L186</f>
        <v/>
      </c>
      <c r="N186" s="5">
        <f>IFERROR(M186/K186,0)</f>
        <v/>
      </c>
    </row>
    <row r="187">
      <c r="A187" t="inlineStr">
        <is>
          <t>ORD-0186</t>
        </is>
      </c>
      <c r="B187" s="2" t="n">
        <v>46002</v>
      </c>
      <c r="C187" t="inlineStr">
        <is>
          <t>West</t>
        </is>
      </c>
      <c r="D187" t="inlineStr">
        <is>
          <t>Corporate</t>
        </is>
      </c>
      <c r="E187" t="inlineStr">
        <is>
          <t>Headphones</t>
        </is>
      </c>
      <c r="F187" t="inlineStr">
        <is>
          <t>Electronics</t>
        </is>
      </c>
      <c r="G187" t="n">
        <v>5</v>
      </c>
      <c r="H187" s="3" t="n">
        <v>67.15000000000001</v>
      </c>
      <c r="I187" s="4" t="n">
        <v>0.15</v>
      </c>
      <c r="J187" s="3" t="n">
        <v>48</v>
      </c>
      <c r="K187" s="3">
        <f>G187*H187</f>
        <v/>
      </c>
      <c r="L187" s="3">
        <f>G187*J187</f>
        <v/>
      </c>
      <c r="M187" s="3">
        <f>K187-L187</f>
        <v/>
      </c>
      <c r="N187" s="5">
        <f>IFERROR(M187/K187,0)</f>
        <v/>
      </c>
    </row>
    <row r="188">
      <c r="A188" t="inlineStr">
        <is>
          <t>ORD-0187</t>
        </is>
      </c>
      <c r="B188" s="2" t="n">
        <v>45713</v>
      </c>
      <c r="C188" t="inlineStr">
        <is>
          <t>North</t>
        </is>
      </c>
      <c r="D188" t="inlineStr">
        <is>
          <t>Corporate</t>
        </is>
      </c>
      <c r="E188" t="inlineStr">
        <is>
          <t>Headphones</t>
        </is>
      </c>
      <c r="F188" t="inlineStr">
        <is>
          <t>Electronics</t>
        </is>
      </c>
      <c r="G188" t="n">
        <v>4</v>
      </c>
      <c r="H188" s="3" t="n">
        <v>71.09999999999999</v>
      </c>
      <c r="I188" s="4" t="n">
        <v>0.1</v>
      </c>
      <c r="J188" s="3" t="n">
        <v>48</v>
      </c>
      <c r="K188" s="3">
        <f>G188*H188</f>
        <v/>
      </c>
      <c r="L188" s="3">
        <f>G188*J188</f>
        <v/>
      </c>
      <c r="M188" s="3">
        <f>K188-L188</f>
        <v/>
      </c>
      <c r="N188" s="5">
        <f>IFERROR(M188/K188,0)</f>
        <v/>
      </c>
    </row>
    <row r="189">
      <c r="A189" t="inlineStr">
        <is>
          <t>ORD-0188</t>
        </is>
      </c>
      <c r="B189" s="2" t="n">
        <v>45970</v>
      </c>
      <c r="C189" t="inlineStr">
        <is>
          <t>West</t>
        </is>
      </c>
      <c r="D189" t="inlineStr">
        <is>
          <t>Corporate</t>
        </is>
      </c>
      <c r="E189" t="inlineStr">
        <is>
          <t>Headphones</t>
        </is>
      </c>
      <c r="F189" t="inlineStr">
        <is>
          <t>Electronics</t>
        </is>
      </c>
      <c r="G189" t="n">
        <v>4</v>
      </c>
      <c r="H189" s="3" t="n">
        <v>79</v>
      </c>
      <c r="I189" s="4" t="n">
        <v>0</v>
      </c>
      <c r="J189" s="3" t="n">
        <v>48</v>
      </c>
      <c r="K189" s="3">
        <f>G189*H189</f>
        <v/>
      </c>
      <c r="L189" s="3">
        <f>G189*J189</f>
        <v/>
      </c>
      <c r="M189" s="3">
        <f>K189-L189</f>
        <v/>
      </c>
      <c r="N189" s="5">
        <f>IFERROR(M189/K189,0)</f>
        <v/>
      </c>
    </row>
    <row r="190">
      <c r="A190" t="inlineStr">
        <is>
          <t>ORD-0189</t>
        </is>
      </c>
      <c r="B190" s="2" t="n">
        <v>45990</v>
      </c>
      <c r="C190" t="inlineStr">
        <is>
          <t>South</t>
        </is>
      </c>
      <c r="D190" t="inlineStr">
        <is>
          <t>Online</t>
        </is>
      </c>
      <c r="E190" t="inlineStr">
        <is>
          <t>USB-C Hub</t>
        </is>
      </c>
      <c r="F190" t="inlineStr">
        <is>
          <t>Electronics</t>
        </is>
      </c>
      <c r="G190" t="n">
        <v>7</v>
      </c>
      <c r="H190" s="3" t="n">
        <v>49</v>
      </c>
      <c r="I190" s="4" t="n">
        <v>0</v>
      </c>
      <c r="J190" s="3" t="n">
        <v>28</v>
      </c>
      <c r="K190" s="3">
        <f>G190*H190</f>
        <v/>
      </c>
      <c r="L190" s="3">
        <f>G190*J190</f>
        <v/>
      </c>
      <c r="M190" s="3">
        <f>K190-L190</f>
        <v/>
      </c>
      <c r="N190" s="5">
        <f>IFERROR(M190/K190,0)</f>
        <v/>
      </c>
    </row>
    <row r="191">
      <c r="A191" t="inlineStr">
        <is>
          <t>ORD-0190</t>
        </is>
      </c>
      <c r="B191" s="2" t="n">
        <v>45813</v>
      </c>
      <c r="C191" t="inlineStr">
        <is>
          <t>North</t>
        </is>
      </c>
      <c r="D191" t="inlineStr">
        <is>
          <t>Online</t>
        </is>
      </c>
      <c r="E191" t="inlineStr">
        <is>
          <t>Laptop Stand</t>
        </is>
      </c>
      <c r="F191" t="inlineStr">
        <is>
          <t>Accessories</t>
        </is>
      </c>
      <c r="G191" t="n">
        <v>8</v>
      </c>
      <c r="H191" s="3" t="n">
        <v>55</v>
      </c>
      <c r="I191" s="4" t="n">
        <v>0</v>
      </c>
      <c r="J191" s="3" t="n">
        <v>32</v>
      </c>
      <c r="K191" s="3">
        <f>G191*H191</f>
        <v/>
      </c>
      <c r="L191" s="3">
        <f>G191*J191</f>
        <v/>
      </c>
      <c r="M191" s="3">
        <f>K191-L191</f>
        <v/>
      </c>
      <c r="N191" s="5">
        <f>IFERROR(M191/K191,0)</f>
        <v/>
      </c>
    </row>
    <row r="192">
      <c r="A192" t="inlineStr">
        <is>
          <t>ORD-0191</t>
        </is>
      </c>
      <c r="B192" s="2" t="n">
        <v>45856</v>
      </c>
      <c r="C192" t="inlineStr">
        <is>
          <t>West</t>
        </is>
      </c>
      <c r="D192" t="inlineStr">
        <is>
          <t>Corporate</t>
        </is>
      </c>
      <c r="E192" t="inlineStr">
        <is>
          <t>Keyboard</t>
        </is>
      </c>
      <c r="F192" t="inlineStr">
        <is>
          <t>Accessories</t>
        </is>
      </c>
      <c r="G192" t="n">
        <v>8</v>
      </c>
      <c r="H192" s="3" t="n">
        <v>37.05</v>
      </c>
      <c r="I192" s="4" t="n">
        <v>0.05</v>
      </c>
      <c r="J192" s="3" t="n">
        <v>22</v>
      </c>
      <c r="K192" s="3">
        <f>G192*H192</f>
        <v/>
      </c>
      <c r="L192" s="3">
        <f>G192*J192</f>
        <v/>
      </c>
      <c r="M192" s="3">
        <f>K192-L192</f>
        <v/>
      </c>
      <c r="N192" s="5">
        <f>IFERROR(M192/K192,0)</f>
        <v/>
      </c>
    </row>
    <row r="193">
      <c r="A193" t="inlineStr">
        <is>
          <t>ORD-0192</t>
        </is>
      </c>
      <c r="B193" s="2" t="n">
        <v>45870</v>
      </c>
      <c r="C193" t="inlineStr">
        <is>
          <t>West</t>
        </is>
      </c>
      <c r="D193" t="inlineStr">
        <is>
          <t>Retail</t>
        </is>
      </c>
      <c r="E193" t="inlineStr">
        <is>
          <t>Keyboard</t>
        </is>
      </c>
      <c r="F193" t="inlineStr">
        <is>
          <t>Accessories</t>
        </is>
      </c>
      <c r="G193" t="n">
        <v>2</v>
      </c>
      <c r="H193" s="3" t="n">
        <v>35.1</v>
      </c>
      <c r="I193" s="4" t="n">
        <v>0.1</v>
      </c>
      <c r="J193" s="3" t="n">
        <v>22</v>
      </c>
      <c r="K193" s="3">
        <f>G193*H193</f>
        <v/>
      </c>
      <c r="L193" s="3">
        <f>G193*J193</f>
        <v/>
      </c>
      <c r="M193" s="3">
        <f>K193-L193</f>
        <v/>
      </c>
      <c r="N193" s="5">
        <f>IFERROR(M193/K193,0)</f>
        <v/>
      </c>
    </row>
    <row r="194">
      <c r="A194" t="inlineStr">
        <is>
          <t>ORD-0193</t>
        </is>
      </c>
      <c r="B194" s="2" t="n">
        <v>46011</v>
      </c>
      <c r="C194" t="inlineStr">
        <is>
          <t>West</t>
        </is>
      </c>
      <c r="D194" t="inlineStr">
        <is>
          <t>Retail</t>
        </is>
      </c>
      <c r="E194" t="inlineStr">
        <is>
          <t>Laptop Stand</t>
        </is>
      </c>
      <c r="F194" t="inlineStr">
        <is>
          <t>Accessories</t>
        </is>
      </c>
      <c r="G194" t="n">
        <v>6</v>
      </c>
      <c r="H194" s="3" t="n">
        <v>55</v>
      </c>
      <c r="I194" s="4" t="n">
        <v>0</v>
      </c>
      <c r="J194" s="3" t="n">
        <v>32</v>
      </c>
      <c r="K194" s="3">
        <f>G194*H194</f>
        <v/>
      </c>
      <c r="L194" s="3">
        <f>G194*J194</f>
        <v/>
      </c>
      <c r="M194" s="3">
        <f>K194-L194</f>
        <v/>
      </c>
      <c r="N194" s="5">
        <f>IFERROR(M194/K194,0)</f>
        <v/>
      </c>
    </row>
    <row r="195">
      <c r="A195" t="inlineStr">
        <is>
          <t>ORD-0194</t>
        </is>
      </c>
      <c r="B195" s="2" t="n">
        <v>45843</v>
      </c>
      <c r="C195" t="inlineStr">
        <is>
          <t>East</t>
        </is>
      </c>
      <c r="D195" t="inlineStr">
        <is>
          <t>Online</t>
        </is>
      </c>
      <c r="E195" t="inlineStr">
        <is>
          <t>Monitor</t>
        </is>
      </c>
      <c r="F195" t="inlineStr">
        <is>
          <t>Electronics</t>
        </is>
      </c>
      <c r="G195" t="n">
        <v>2</v>
      </c>
      <c r="H195" s="3" t="n">
        <v>209</v>
      </c>
      <c r="I195" s="4" t="n">
        <v>0.05</v>
      </c>
      <c r="J195" s="3" t="n">
        <v>145</v>
      </c>
      <c r="K195" s="3">
        <f>G195*H195</f>
        <v/>
      </c>
      <c r="L195" s="3">
        <f>G195*J195</f>
        <v/>
      </c>
      <c r="M195" s="3">
        <f>K195-L195</f>
        <v/>
      </c>
      <c r="N195" s="5">
        <f>IFERROR(M195/K195,0)</f>
        <v/>
      </c>
    </row>
    <row r="196">
      <c r="A196" t="inlineStr">
        <is>
          <t>ORD-0195</t>
        </is>
      </c>
      <c r="B196" s="2" t="n">
        <v>45799</v>
      </c>
      <c r="C196" t="inlineStr">
        <is>
          <t>West</t>
        </is>
      </c>
      <c r="D196" t="inlineStr">
        <is>
          <t>Online</t>
        </is>
      </c>
      <c r="E196" t="inlineStr">
        <is>
          <t>Notebook Set</t>
        </is>
      </c>
      <c r="F196" t="inlineStr">
        <is>
          <t>Stationery</t>
        </is>
      </c>
      <c r="G196" t="n">
        <v>4</v>
      </c>
      <c r="H196" s="3" t="n">
        <v>12</v>
      </c>
      <c r="I196" s="4" t="n">
        <v>0</v>
      </c>
      <c r="J196" s="3" t="n">
        <v>5</v>
      </c>
      <c r="K196" s="3">
        <f>G196*H196</f>
        <v/>
      </c>
      <c r="L196" s="3">
        <f>G196*J196</f>
        <v/>
      </c>
      <c r="M196" s="3">
        <f>K196-L196</f>
        <v/>
      </c>
      <c r="N196" s="5">
        <f>IFERROR(M196/K196,0)</f>
        <v/>
      </c>
    </row>
    <row r="197">
      <c r="A197" t="inlineStr">
        <is>
          <t>ORD-0196</t>
        </is>
      </c>
      <c r="B197" s="2" t="n">
        <v>45986</v>
      </c>
      <c r="C197" t="inlineStr">
        <is>
          <t>East</t>
        </is>
      </c>
      <c r="D197" t="inlineStr">
        <is>
          <t>Online</t>
        </is>
      </c>
      <c r="E197" t="inlineStr">
        <is>
          <t>Monitor</t>
        </is>
      </c>
      <c r="F197" t="inlineStr">
        <is>
          <t>Electronics</t>
        </is>
      </c>
      <c r="G197" t="n">
        <v>1</v>
      </c>
      <c r="H197" s="3" t="n">
        <v>220</v>
      </c>
      <c r="I197" s="4" t="n">
        <v>0</v>
      </c>
      <c r="J197" s="3" t="n">
        <v>145</v>
      </c>
      <c r="K197" s="3">
        <f>G197*H197</f>
        <v/>
      </c>
      <c r="L197" s="3">
        <f>G197*J197</f>
        <v/>
      </c>
      <c r="M197" s="3">
        <f>K197-L197</f>
        <v/>
      </c>
      <c r="N197" s="5">
        <f>IFERROR(M197/K197,0)</f>
        <v/>
      </c>
    </row>
    <row r="198">
      <c r="A198" t="inlineStr">
        <is>
          <t>ORD-0197</t>
        </is>
      </c>
      <c r="B198" s="2" t="n">
        <v>45947</v>
      </c>
      <c r="C198" t="inlineStr">
        <is>
          <t>South</t>
        </is>
      </c>
      <c r="D198" t="inlineStr">
        <is>
          <t>Corporate</t>
        </is>
      </c>
      <c r="E198" t="inlineStr">
        <is>
          <t>Keyboard</t>
        </is>
      </c>
      <c r="F198" t="inlineStr">
        <is>
          <t>Accessories</t>
        </is>
      </c>
      <c r="G198" t="n">
        <v>4</v>
      </c>
      <c r="H198" s="3" t="n">
        <v>39</v>
      </c>
      <c r="I198" s="4" t="n">
        <v>0</v>
      </c>
      <c r="J198" s="3" t="n">
        <v>22</v>
      </c>
      <c r="K198" s="3">
        <f>G198*H198</f>
        <v/>
      </c>
      <c r="L198" s="3">
        <f>G198*J198</f>
        <v/>
      </c>
      <c r="M198" s="3">
        <f>K198-L198</f>
        <v/>
      </c>
      <c r="N198" s="5">
        <f>IFERROR(M198/K198,0)</f>
        <v/>
      </c>
    </row>
    <row r="199">
      <c r="A199" t="inlineStr">
        <is>
          <t>ORD-0198</t>
        </is>
      </c>
      <c r="B199" s="2" t="n">
        <v>45777</v>
      </c>
      <c r="C199" t="inlineStr">
        <is>
          <t>North</t>
        </is>
      </c>
      <c r="D199" t="inlineStr">
        <is>
          <t>Retail</t>
        </is>
      </c>
      <c r="E199" t="inlineStr">
        <is>
          <t>Monitor</t>
        </is>
      </c>
      <c r="F199" t="inlineStr">
        <is>
          <t>Electronics</t>
        </is>
      </c>
      <c r="G199" t="n">
        <v>6</v>
      </c>
      <c r="H199" s="3" t="n">
        <v>220</v>
      </c>
      <c r="I199" s="4" t="n">
        <v>0</v>
      </c>
      <c r="J199" s="3" t="n">
        <v>145</v>
      </c>
      <c r="K199" s="3">
        <f>G199*H199</f>
        <v/>
      </c>
      <c r="L199" s="3">
        <f>G199*J199</f>
        <v/>
      </c>
      <c r="M199" s="3">
        <f>K199-L199</f>
        <v/>
      </c>
      <c r="N199" s="5">
        <f>IFERROR(M199/K199,0)</f>
        <v/>
      </c>
    </row>
    <row r="200">
      <c r="A200" t="inlineStr">
        <is>
          <t>ORD-0199</t>
        </is>
      </c>
      <c r="B200" s="2" t="n">
        <v>45724</v>
      </c>
      <c r="C200" t="inlineStr">
        <is>
          <t>North</t>
        </is>
      </c>
      <c r="D200" t="inlineStr">
        <is>
          <t>Corporate</t>
        </is>
      </c>
      <c r="E200" t="inlineStr">
        <is>
          <t>Keyboard</t>
        </is>
      </c>
      <c r="F200" t="inlineStr">
        <is>
          <t>Accessories</t>
        </is>
      </c>
      <c r="G200" t="n">
        <v>5</v>
      </c>
      <c r="H200" s="3" t="n">
        <v>39</v>
      </c>
      <c r="I200" s="4" t="n">
        <v>0</v>
      </c>
      <c r="J200" s="3" t="n">
        <v>22</v>
      </c>
      <c r="K200" s="3">
        <f>G200*H200</f>
        <v/>
      </c>
      <c r="L200" s="3">
        <f>G200*J200</f>
        <v/>
      </c>
      <c r="M200" s="3">
        <f>K200-L200</f>
        <v/>
      </c>
      <c r="N200" s="5">
        <f>IFERROR(M200/K200,0)</f>
        <v/>
      </c>
    </row>
    <row r="201">
      <c r="A201" t="inlineStr">
        <is>
          <t>ORD-0200</t>
        </is>
      </c>
      <c r="B201" s="2" t="n">
        <v>45725</v>
      </c>
      <c r="C201" t="inlineStr">
        <is>
          <t>South</t>
        </is>
      </c>
      <c r="D201" t="inlineStr">
        <is>
          <t>Corporate</t>
        </is>
      </c>
      <c r="E201" t="inlineStr">
        <is>
          <t>Laptop Stand</t>
        </is>
      </c>
      <c r="F201" t="inlineStr">
        <is>
          <t>Accessories</t>
        </is>
      </c>
      <c r="G201" t="n">
        <v>1</v>
      </c>
      <c r="H201" s="3" t="n">
        <v>52.25</v>
      </c>
      <c r="I201" s="4" t="n">
        <v>0.05</v>
      </c>
      <c r="J201" s="3" t="n">
        <v>32</v>
      </c>
      <c r="K201" s="3">
        <f>G201*H201</f>
        <v/>
      </c>
      <c r="L201" s="3">
        <f>G201*J201</f>
        <v/>
      </c>
      <c r="M201" s="3">
        <f>K201-L201</f>
        <v/>
      </c>
      <c r="N201" s="5">
        <f>IFERROR(M201/K201,0)</f>
        <v/>
      </c>
    </row>
    <row r="202">
      <c r="A202" t="inlineStr">
        <is>
          <t>ORD-0201</t>
        </is>
      </c>
      <c r="B202" s="2" t="n">
        <v>45666</v>
      </c>
      <c r="C202" t="inlineStr">
        <is>
          <t>North</t>
        </is>
      </c>
      <c r="D202" t="inlineStr">
        <is>
          <t>Online</t>
        </is>
      </c>
      <c r="E202" t="inlineStr">
        <is>
          <t>Headphones</t>
        </is>
      </c>
      <c r="F202" t="inlineStr">
        <is>
          <t>Electronics</t>
        </is>
      </c>
      <c r="G202" t="n">
        <v>3</v>
      </c>
      <c r="H202" s="3" t="n">
        <v>75.05</v>
      </c>
      <c r="I202" s="4" t="n">
        <v>0.05</v>
      </c>
      <c r="J202" s="3" t="n">
        <v>48</v>
      </c>
      <c r="K202" s="3">
        <f>G202*H202</f>
        <v/>
      </c>
      <c r="L202" s="3">
        <f>G202*J202</f>
        <v/>
      </c>
      <c r="M202" s="3">
        <f>K202-L202</f>
        <v/>
      </c>
      <c r="N202" s="5">
        <f>IFERROR(M202/K202,0)</f>
        <v/>
      </c>
    </row>
    <row r="203">
      <c r="A203" t="inlineStr">
        <is>
          <t>ORD-0202</t>
        </is>
      </c>
      <c r="B203" s="2" t="n">
        <v>45927</v>
      </c>
      <c r="C203" t="inlineStr">
        <is>
          <t>West</t>
        </is>
      </c>
      <c r="D203" t="inlineStr">
        <is>
          <t>Retail</t>
        </is>
      </c>
      <c r="E203" t="inlineStr">
        <is>
          <t>Notebook Set</t>
        </is>
      </c>
      <c r="F203" t="inlineStr">
        <is>
          <t>Stationery</t>
        </is>
      </c>
      <c r="G203" t="n">
        <v>2</v>
      </c>
      <c r="H203" s="3" t="n">
        <v>12</v>
      </c>
      <c r="I203" s="4" t="n">
        <v>0</v>
      </c>
      <c r="J203" s="3" t="n">
        <v>5</v>
      </c>
      <c r="K203" s="3">
        <f>G203*H203</f>
        <v/>
      </c>
      <c r="L203" s="3">
        <f>G203*J203</f>
        <v/>
      </c>
      <c r="M203" s="3">
        <f>K203-L203</f>
        <v/>
      </c>
      <c r="N203" s="5">
        <f>IFERROR(M203/K203,0)</f>
        <v/>
      </c>
    </row>
    <row r="204">
      <c r="A204" t="inlineStr">
        <is>
          <t>ORD-0203</t>
        </is>
      </c>
      <c r="B204" s="2" t="n">
        <v>45920</v>
      </c>
      <c r="C204" t="inlineStr">
        <is>
          <t>South</t>
        </is>
      </c>
      <c r="D204" t="inlineStr">
        <is>
          <t>Corporate</t>
        </is>
      </c>
      <c r="E204" t="inlineStr">
        <is>
          <t>Headphones</t>
        </is>
      </c>
      <c r="F204" t="inlineStr">
        <is>
          <t>Electronics</t>
        </is>
      </c>
      <c r="G204" t="n">
        <v>2</v>
      </c>
      <c r="H204" s="3" t="n">
        <v>71.09999999999999</v>
      </c>
      <c r="I204" s="4" t="n">
        <v>0.1</v>
      </c>
      <c r="J204" s="3" t="n">
        <v>48</v>
      </c>
      <c r="K204" s="3">
        <f>G204*H204</f>
        <v/>
      </c>
      <c r="L204" s="3">
        <f>G204*J204</f>
        <v/>
      </c>
      <c r="M204" s="3">
        <f>K204-L204</f>
        <v/>
      </c>
      <c r="N204" s="5">
        <f>IFERROR(M204/K204,0)</f>
        <v/>
      </c>
    </row>
    <row r="205">
      <c r="A205" t="inlineStr">
        <is>
          <t>ORD-0204</t>
        </is>
      </c>
      <c r="B205" s="2" t="n">
        <v>45995</v>
      </c>
      <c r="C205" t="inlineStr">
        <is>
          <t>North</t>
        </is>
      </c>
      <c r="D205" t="inlineStr">
        <is>
          <t>Online</t>
        </is>
      </c>
      <c r="E205" t="inlineStr">
        <is>
          <t>Laptop Stand</t>
        </is>
      </c>
      <c r="F205" t="inlineStr">
        <is>
          <t>Accessories</t>
        </is>
      </c>
      <c r="G205" t="n">
        <v>5</v>
      </c>
      <c r="H205" s="3" t="n">
        <v>49.5</v>
      </c>
      <c r="I205" s="4" t="n">
        <v>0.1</v>
      </c>
      <c r="J205" s="3" t="n">
        <v>32</v>
      </c>
      <c r="K205" s="3">
        <f>G205*H205</f>
        <v/>
      </c>
      <c r="L205" s="3">
        <f>G205*J205</f>
        <v/>
      </c>
      <c r="M205" s="3">
        <f>K205-L205</f>
        <v/>
      </c>
      <c r="N205" s="5">
        <f>IFERROR(M205/K205,0)</f>
        <v/>
      </c>
    </row>
    <row r="206">
      <c r="A206" t="inlineStr">
        <is>
          <t>ORD-0205</t>
        </is>
      </c>
      <c r="B206" s="2" t="n">
        <v>45863</v>
      </c>
      <c r="C206" t="inlineStr">
        <is>
          <t>West</t>
        </is>
      </c>
      <c r="D206" t="inlineStr">
        <is>
          <t>Corporate</t>
        </is>
      </c>
      <c r="E206" t="inlineStr">
        <is>
          <t>Desk Lamp</t>
        </is>
      </c>
      <c r="F206" t="inlineStr">
        <is>
          <t>Office</t>
        </is>
      </c>
      <c r="G206" t="n">
        <v>7</v>
      </c>
      <c r="H206" s="3" t="n">
        <v>42</v>
      </c>
      <c r="I206" s="4" t="n">
        <v>0</v>
      </c>
      <c r="J206" s="3" t="n">
        <v>24</v>
      </c>
      <c r="K206" s="3">
        <f>G206*H206</f>
        <v/>
      </c>
      <c r="L206" s="3">
        <f>G206*J206</f>
        <v/>
      </c>
      <c r="M206" s="3">
        <f>K206-L206</f>
        <v/>
      </c>
      <c r="N206" s="5">
        <f>IFERROR(M206/K206,0)</f>
        <v/>
      </c>
    </row>
    <row r="207">
      <c r="A207" t="inlineStr">
        <is>
          <t>ORD-0206</t>
        </is>
      </c>
      <c r="B207" s="2" t="n">
        <v>45695</v>
      </c>
      <c r="C207" t="inlineStr">
        <is>
          <t>South</t>
        </is>
      </c>
      <c r="D207" t="inlineStr">
        <is>
          <t>Online</t>
        </is>
      </c>
      <c r="E207" t="inlineStr">
        <is>
          <t>Desk Lamp</t>
        </is>
      </c>
      <c r="F207" t="inlineStr">
        <is>
          <t>Office</t>
        </is>
      </c>
      <c r="G207" t="n">
        <v>2</v>
      </c>
      <c r="H207" s="3" t="n">
        <v>39.9</v>
      </c>
      <c r="I207" s="4" t="n">
        <v>0.05</v>
      </c>
      <c r="J207" s="3" t="n">
        <v>24</v>
      </c>
      <c r="K207" s="3">
        <f>G207*H207</f>
        <v/>
      </c>
      <c r="L207" s="3">
        <f>G207*J207</f>
        <v/>
      </c>
      <c r="M207" s="3">
        <f>K207-L207</f>
        <v/>
      </c>
      <c r="N207" s="5">
        <f>IFERROR(M207/K207,0)</f>
        <v/>
      </c>
    </row>
    <row r="208">
      <c r="A208" t="inlineStr">
        <is>
          <t>ORD-0207</t>
        </is>
      </c>
      <c r="B208" s="2" t="n">
        <v>45798</v>
      </c>
      <c r="C208" t="inlineStr">
        <is>
          <t>East</t>
        </is>
      </c>
      <c r="D208" t="inlineStr">
        <is>
          <t>Retail</t>
        </is>
      </c>
      <c r="E208" t="inlineStr">
        <is>
          <t>Keyboard</t>
        </is>
      </c>
      <c r="F208" t="inlineStr">
        <is>
          <t>Accessories</t>
        </is>
      </c>
      <c r="G208" t="n">
        <v>6</v>
      </c>
      <c r="H208" s="3" t="n">
        <v>35.1</v>
      </c>
      <c r="I208" s="4" t="n">
        <v>0.1</v>
      </c>
      <c r="J208" s="3" t="n">
        <v>22</v>
      </c>
      <c r="K208" s="3">
        <f>G208*H208</f>
        <v/>
      </c>
      <c r="L208" s="3">
        <f>G208*J208</f>
        <v/>
      </c>
      <c r="M208" s="3">
        <f>K208-L208</f>
        <v/>
      </c>
      <c r="N208" s="5">
        <f>IFERROR(M208/K208,0)</f>
        <v/>
      </c>
    </row>
    <row r="209">
      <c r="A209" t="inlineStr">
        <is>
          <t>ORD-0208</t>
        </is>
      </c>
      <c r="B209" s="2" t="n">
        <v>45708</v>
      </c>
      <c r="C209" t="inlineStr">
        <is>
          <t>South</t>
        </is>
      </c>
      <c r="D209" t="inlineStr">
        <is>
          <t>Retail</t>
        </is>
      </c>
      <c r="E209" t="inlineStr">
        <is>
          <t>Notebook Set</t>
        </is>
      </c>
      <c r="F209" t="inlineStr">
        <is>
          <t>Stationery</t>
        </is>
      </c>
      <c r="G209" t="n">
        <v>2</v>
      </c>
      <c r="H209" s="3" t="n">
        <v>10.2</v>
      </c>
      <c r="I209" s="4" t="n">
        <v>0.15</v>
      </c>
      <c r="J209" s="3" t="n">
        <v>5</v>
      </c>
      <c r="K209" s="3">
        <f>G209*H209</f>
        <v/>
      </c>
      <c r="L209" s="3">
        <f>G209*J209</f>
        <v/>
      </c>
      <c r="M209" s="3">
        <f>K209-L209</f>
        <v/>
      </c>
      <c r="N209" s="5">
        <f>IFERROR(M209/K209,0)</f>
        <v/>
      </c>
    </row>
    <row r="210">
      <c r="A210" t="inlineStr">
        <is>
          <t>ORD-0209</t>
        </is>
      </c>
      <c r="B210" s="2" t="n">
        <v>45774</v>
      </c>
      <c r="C210" t="inlineStr">
        <is>
          <t>West</t>
        </is>
      </c>
      <c r="D210" t="inlineStr">
        <is>
          <t>Retail</t>
        </is>
      </c>
      <c r="E210" t="inlineStr">
        <is>
          <t>Desk Lamp</t>
        </is>
      </c>
      <c r="F210" t="inlineStr">
        <is>
          <t>Office</t>
        </is>
      </c>
      <c r="G210" t="n">
        <v>7</v>
      </c>
      <c r="H210" s="3" t="n">
        <v>39.9</v>
      </c>
      <c r="I210" s="4" t="n">
        <v>0.05</v>
      </c>
      <c r="J210" s="3" t="n">
        <v>24</v>
      </c>
      <c r="K210" s="3">
        <f>G210*H210</f>
        <v/>
      </c>
      <c r="L210" s="3">
        <f>G210*J210</f>
        <v/>
      </c>
      <c r="M210" s="3">
        <f>K210-L210</f>
        <v/>
      </c>
      <c r="N210" s="5">
        <f>IFERROR(M210/K210,0)</f>
        <v/>
      </c>
    </row>
    <row r="211">
      <c r="A211" t="inlineStr">
        <is>
          <t>ORD-0210</t>
        </is>
      </c>
      <c r="B211" s="2" t="n">
        <v>45706</v>
      </c>
      <c r="C211" t="inlineStr">
        <is>
          <t>East</t>
        </is>
      </c>
      <c r="D211" t="inlineStr">
        <is>
          <t>Corporate</t>
        </is>
      </c>
      <c r="E211" t="inlineStr">
        <is>
          <t>Notebook Set</t>
        </is>
      </c>
      <c r="F211" t="inlineStr">
        <is>
          <t>Stationery</t>
        </is>
      </c>
      <c r="G211" t="n">
        <v>6</v>
      </c>
      <c r="H211" s="3" t="n">
        <v>10.8</v>
      </c>
      <c r="I211" s="4" t="n">
        <v>0.1</v>
      </c>
      <c r="J211" s="3" t="n">
        <v>5</v>
      </c>
      <c r="K211" s="3">
        <f>G211*H211</f>
        <v/>
      </c>
      <c r="L211" s="3">
        <f>G211*J211</f>
        <v/>
      </c>
      <c r="M211" s="3">
        <f>K211-L211</f>
        <v/>
      </c>
      <c r="N211" s="5">
        <f>IFERROR(M211/K211,0)</f>
        <v/>
      </c>
    </row>
    <row r="212">
      <c r="A212" t="inlineStr">
        <is>
          <t>ORD-0211</t>
        </is>
      </c>
      <c r="B212" s="2" t="n">
        <v>45849</v>
      </c>
      <c r="C212" t="inlineStr">
        <is>
          <t>North</t>
        </is>
      </c>
      <c r="D212" t="inlineStr">
        <is>
          <t>Online</t>
        </is>
      </c>
      <c r="E212" t="inlineStr">
        <is>
          <t>USB-C Hub</t>
        </is>
      </c>
      <c r="F212" t="inlineStr">
        <is>
          <t>Electronics</t>
        </is>
      </c>
      <c r="G212" t="n">
        <v>3</v>
      </c>
      <c r="H212" s="3" t="n">
        <v>44.1</v>
      </c>
      <c r="I212" s="4" t="n">
        <v>0.1</v>
      </c>
      <c r="J212" s="3" t="n">
        <v>28</v>
      </c>
      <c r="K212" s="3">
        <f>G212*H212</f>
        <v/>
      </c>
      <c r="L212" s="3">
        <f>G212*J212</f>
        <v/>
      </c>
      <c r="M212" s="3">
        <f>K212-L212</f>
        <v/>
      </c>
      <c r="N212" s="5">
        <f>IFERROR(M212/K212,0)</f>
        <v/>
      </c>
    </row>
    <row r="213">
      <c r="A213" t="inlineStr">
        <is>
          <t>ORD-0212</t>
        </is>
      </c>
      <c r="B213" s="2" t="n">
        <v>45705</v>
      </c>
      <c r="C213" t="inlineStr">
        <is>
          <t>East</t>
        </is>
      </c>
      <c r="D213" t="inlineStr">
        <is>
          <t>Online</t>
        </is>
      </c>
      <c r="E213" t="inlineStr">
        <is>
          <t>Wireless Mouse</t>
        </is>
      </c>
      <c r="F213" t="inlineStr">
        <is>
          <t>Accessories</t>
        </is>
      </c>
      <c r="G213" t="n">
        <v>7</v>
      </c>
      <c r="H213" s="3" t="n">
        <v>25</v>
      </c>
      <c r="I213" s="4" t="n">
        <v>0</v>
      </c>
      <c r="J213" s="3" t="n">
        <v>14</v>
      </c>
      <c r="K213" s="3">
        <f>G213*H213</f>
        <v/>
      </c>
      <c r="L213" s="3">
        <f>G213*J213</f>
        <v/>
      </c>
      <c r="M213" s="3">
        <f>K213-L213</f>
        <v/>
      </c>
      <c r="N213" s="5">
        <f>IFERROR(M213/K213,0)</f>
        <v/>
      </c>
    </row>
    <row r="214">
      <c r="A214" t="inlineStr">
        <is>
          <t>ORD-0213</t>
        </is>
      </c>
      <c r="B214" s="2" t="n">
        <v>45958</v>
      </c>
      <c r="C214" t="inlineStr">
        <is>
          <t>West</t>
        </is>
      </c>
      <c r="D214" t="inlineStr">
        <is>
          <t>Retail</t>
        </is>
      </c>
      <c r="E214" t="inlineStr">
        <is>
          <t>Laptop Stand</t>
        </is>
      </c>
      <c r="F214" t="inlineStr">
        <is>
          <t>Accessories</t>
        </is>
      </c>
      <c r="G214" t="n">
        <v>6</v>
      </c>
      <c r="H214" s="3" t="n">
        <v>55</v>
      </c>
      <c r="I214" s="4" t="n">
        <v>0</v>
      </c>
      <c r="J214" s="3" t="n">
        <v>32</v>
      </c>
      <c r="K214" s="3">
        <f>G214*H214</f>
        <v/>
      </c>
      <c r="L214" s="3">
        <f>G214*J214</f>
        <v/>
      </c>
      <c r="M214" s="3">
        <f>K214-L214</f>
        <v/>
      </c>
      <c r="N214" s="5">
        <f>IFERROR(M214/K214,0)</f>
        <v/>
      </c>
    </row>
    <row r="215">
      <c r="A215" t="inlineStr">
        <is>
          <t>ORD-0214</t>
        </is>
      </c>
      <c r="B215" s="2" t="n">
        <v>45684</v>
      </c>
      <c r="C215" t="inlineStr">
        <is>
          <t>East</t>
        </is>
      </c>
      <c r="D215" t="inlineStr">
        <is>
          <t>Retail</t>
        </is>
      </c>
      <c r="E215" t="inlineStr">
        <is>
          <t>Notebook Set</t>
        </is>
      </c>
      <c r="F215" t="inlineStr">
        <is>
          <t>Stationery</t>
        </is>
      </c>
      <c r="G215" t="n">
        <v>5</v>
      </c>
      <c r="H215" s="3" t="n">
        <v>10.2</v>
      </c>
      <c r="I215" s="4" t="n">
        <v>0.15</v>
      </c>
      <c r="J215" s="3" t="n">
        <v>5</v>
      </c>
      <c r="K215" s="3">
        <f>G215*H215</f>
        <v/>
      </c>
      <c r="L215" s="3">
        <f>G215*J215</f>
        <v/>
      </c>
      <c r="M215" s="3">
        <f>K215-L215</f>
        <v/>
      </c>
      <c r="N215" s="5">
        <f>IFERROR(M215/K215,0)</f>
        <v/>
      </c>
    </row>
    <row r="216">
      <c r="A216" t="inlineStr">
        <is>
          <t>ORD-0215</t>
        </is>
      </c>
      <c r="B216" s="2" t="n">
        <v>45953</v>
      </c>
      <c r="C216" t="inlineStr">
        <is>
          <t>West</t>
        </is>
      </c>
      <c r="D216" t="inlineStr">
        <is>
          <t>Online</t>
        </is>
      </c>
      <c r="E216" t="inlineStr">
        <is>
          <t>Wireless Mouse</t>
        </is>
      </c>
      <c r="F216" t="inlineStr">
        <is>
          <t>Accessories</t>
        </is>
      </c>
      <c r="G216" t="n">
        <v>4</v>
      </c>
      <c r="H216" s="3" t="n">
        <v>25</v>
      </c>
      <c r="I216" s="4" t="n">
        <v>0</v>
      </c>
      <c r="J216" s="3" t="n">
        <v>14</v>
      </c>
      <c r="K216" s="3">
        <f>G216*H216</f>
        <v/>
      </c>
      <c r="L216" s="3">
        <f>G216*J216</f>
        <v/>
      </c>
      <c r="M216" s="3">
        <f>K216-L216</f>
        <v/>
      </c>
      <c r="N216" s="5">
        <f>IFERROR(M216/K216,0)</f>
        <v/>
      </c>
    </row>
    <row r="217">
      <c r="A217" t="inlineStr">
        <is>
          <t>ORD-0216</t>
        </is>
      </c>
      <c r="B217" s="2" t="n">
        <v>45837</v>
      </c>
      <c r="C217" t="inlineStr">
        <is>
          <t>East</t>
        </is>
      </c>
      <c r="D217" t="inlineStr">
        <is>
          <t>Corporate</t>
        </is>
      </c>
      <c r="E217" t="inlineStr">
        <is>
          <t>Wireless Mouse</t>
        </is>
      </c>
      <c r="F217" t="inlineStr">
        <is>
          <t>Accessories</t>
        </is>
      </c>
      <c r="G217" t="n">
        <v>6</v>
      </c>
      <c r="H217" s="3" t="n">
        <v>25</v>
      </c>
      <c r="I217" s="4" t="n">
        <v>0</v>
      </c>
      <c r="J217" s="3" t="n">
        <v>14</v>
      </c>
      <c r="K217" s="3">
        <f>G217*H217</f>
        <v/>
      </c>
      <c r="L217" s="3">
        <f>G217*J217</f>
        <v/>
      </c>
      <c r="M217" s="3">
        <f>K217-L217</f>
        <v/>
      </c>
      <c r="N217" s="5">
        <f>IFERROR(M217/K217,0)</f>
        <v/>
      </c>
    </row>
    <row r="218">
      <c r="A218" t="inlineStr">
        <is>
          <t>ORD-0217</t>
        </is>
      </c>
      <c r="B218" s="2" t="n">
        <v>45877</v>
      </c>
      <c r="C218" t="inlineStr">
        <is>
          <t>East</t>
        </is>
      </c>
      <c r="D218" t="inlineStr">
        <is>
          <t>Online</t>
        </is>
      </c>
      <c r="E218" t="inlineStr">
        <is>
          <t>Monitor</t>
        </is>
      </c>
      <c r="F218" t="inlineStr">
        <is>
          <t>Electronics</t>
        </is>
      </c>
      <c r="G218" t="n">
        <v>1</v>
      </c>
      <c r="H218" s="3" t="n">
        <v>187</v>
      </c>
      <c r="I218" s="4" t="n">
        <v>0.15</v>
      </c>
      <c r="J218" s="3" t="n">
        <v>145</v>
      </c>
      <c r="K218" s="3">
        <f>G218*H218</f>
        <v/>
      </c>
      <c r="L218" s="3">
        <f>G218*J218</f>
        <v/>
      </c>
      <c r="M218" s="3">
        <f>K218-L218</f>
        <v/>
      </c>
      <c r="N218" s="5">
        <f>IFERROR(M218/K218,0)</f>
        <v/>
      </c>
    </row>
    <row r="219">
      <c r="A219" t="inlineStr">
        <is>
          <t>ORD-0218</t>
        </is>
      </c>
      <c r="B219" s="2" t="n">
        <v>45797</v>
      </c>
      <c r="C219" t="inlineStr">
        <is>
          <t>East</t>
        </is>
      </c>
      <c r="D219" t="inlineStr">
        <is>
          <t>Online</t>
        </is>
      </c>
      <c r="E219" t="inlineStr">
        <is>
          <t>Keyboard</t>
        </is>
      </c>
      <c r="F219" t="inlineStr">
        <is>
          <t>Accessories</t>
        </is>
      </c>
      <c r="G219" t="n">
        <v>5</v>
      </c>
      <c r="H219" s="3" t="n">
        <v>37.05</v>
      </c>
      <c r="I219" s="4" t="n">
        <v>0.05</v>
      </c>
      <c r="J219" s="3" t="n">
        <v>22</v>
      </c>
      <c r="K219" s="3">
        <f>G219*H219</f>
        <v/>
      </c>
      <c r="L219" s="3">
        <f>G219*J219</f>
        <v/>
      </c>
      <c r="M219" s="3">
        <f>K219-L219</f>
        <v/>
      </c>
      <c r="N219" s="5">
        <f>IFERROR(M219/K219,0)</f>
        <v/>
      </c>
    </row>
    <row r="220">
      <c r="A220" t="inlineStr">
        <is>
          <t>ORD-0219</t>
        </is>
      </c>
      <c r="B220" s="2" t="n">
        <v>45731</v>
      </c>
      <c r="C220" t="inlineStr">
        <is>
          <t>South</t>
        </is>
      </c>
      <c r="D220" t="inlineStr">
        <is>
          <t>Corporate</t>
        </is>
      </c>
      <c r="E220" t="inlineStr">
        <is>
          <t>Keyboard</t>
        </is>
      </c>
      <c r="F220" t="inlineStr">
        <is>
          <t>Accessories</t>
        </is>
      </c>
      <c r="G220" t="n">
        <v>7</v>
      </c>
      <c r="H220" s="3" t="n">
        <v>39</v>
      </c>
      <c r="I220" s="4" t="n">
        <v>0</v>
      </c>
      <c r="J220" s="3" t="n">
        <v>22</v>
      </c>
      <c r="K220" s="3">
        <f>G220*H220</f>
        <v/>
      </c>
      <c r="L220" s="3">
        <f>G220*J220</f>
        <v/>
      </c>
      <c r="M220" s="3">
        <f>K220-L220</f>
        <v/>
      </c>
      <c r="N220" s="5">
        <f>IFERROR(M220/K220,0)</f>
        <v/>
      </c>
    </row>
    <row r="221">
      <c r="A221" t="inlineStr">
        <is>
          <t>ORD-0220</t>
        </is>
      </c>
      <c r="B221" s="2" t="n">
        <v>45704</v>
      </c>
      <c r="C221" t="inlineStr">
        <is>
          <t>West</t>
        </is>
      </c>
      <c r="D221" t="inlineStr">
        <is>
          <t>Retail</t>
        </is>
      </c>
      <c r="E221" t="inlineStr">
        <is>
          <t>Laptop Stand</t>
        </is>
      </c>
      <c r="F221" t="inlineStr">
        <is>
          <t>Accessories</t>
        </is>
      </c>
      <c r="G221" t="n">
        <v>4</v>
      </c>
      <c r="H221" s="3" t="n">
        <v>49.5</v>
      </c>
      <c r="I221" s="4" t="n">
        <v>0.1</v>
      </c>
      <c r="J221" s="3" t="n">
        <v>32</v>
      </c>
      <c r="K221" s="3">
        <f>G221*H221</f>
        <v/>
      </c>
      <c r="L221" s="3">
        <f>G221*J221</f>
        <v/>
      </c>
      <c r="M221" s="3">
        <f>K221-L221</f>
        <v/>
      </c>
      <c r="N221" s="5">
        <f>IFERROR(M221/K221,0)</f>
        <v/>
      </c>
    </row>
    <row r="222">
      <c r="A222" t="inlineStr">
        <is>
          <t>ORD-0221</t>
        </is>
      </c>
      <c r="B222" s="2" t="n">
        <v>45738</v>
      </c>
      <c r="C222" t="inlineStr">
        <is>
          <t>East</t>
        </is>
      </c>
      <c r="D222" t="inlineStr">
        <is>
          <t>Corporate</t>
        </is>
      </c>
      <c r="E222" t="inlineStr">
        <is>
          <t>Headphones</t>
        </is>
      </c>
      <c r="F222" t="inlineStr">
        <is>
          <t>Electronics</t>
        </is>
      </c>
      <c r="G222" t="n">
        <v>6</v>
      </c>
      <c r="H222" s="3" t="n">
        <v>75.05</v>
      </c>
      <c r="I222" s="4" t="n">
        <v>0.05</v>
      </c>
      <c r="J222" s="3" t="n">
        <v>48</v>
      </c>
      <c r="K222" s="3">
        <f>G222*H222</f>
        <v/>
      </c>
      <c r="L222" s="3">
        <f>G222*J222</f>
        <v/>
      </c>
      <c r="M222" s="3">
        <f>K222-L222</f>
        <v/>
      </c>
      <c r="N222" s="5">
        <f>IFERROR(M222/K222,0)</f>
        <v/>
      </c>
    </row>
    <row r="223">
      <c r="A223" t="inlineStr">
        <is>
          <t>ORD-0222</t>
        </is>
      </c>
      <c r="B223" s="2" t="n">
        <v>45684</v>
      </c>
      <c r="C223" t="inlineStr">
        <is>
          <t>North</t>
        </is>
      </c>
      <c r="D223" t="inlineStr">
        <is>
          <t>Corporate</t>
        </is>
      </c>
      <c r="E223" t="inlineStr">
        <is>
          <t>Wireless Mouse</t>
        </is>
      </c>
      <c r="F223" t="inlineStr">
        <is>
          <t>Accessories</t>
        </is>
      </c>
      <c r="G223" t="n">
        <v>3</v>
      </c>
      <c r="H223" s="3" t="n">
        <v>25</v>
      </c>
      <c r="I223" s="4" t="n">
        <v>0</v>
      </c>
      <c r="J223" s="3" t="n">
        <v>14</v>
      </c>
      <c r="K223" s="3">
        <f>G223*H223</f>
        <v/>
      </c>
      <c r="L223" s="3">
        <f>G223*J223</f>
        <v/>
      </c>
      <c r="M223" s="3">
        <f>K223-L223</f>
        <v/>
      </c>
      <c r="N223" s="5">
        <f>IFERROR(M223/K223,0)</f>
        <v/>
      </c>
    </row>
    <row r="224">
      <c r="A224" t="inlineStr">
        <is>
          <t>ORD-0223</t>
        </is>
      </c>
      <c r="B224" s="2" t="n">
        <v>45797</v>
      </c>
      <c r="C224" t="inlineStr">
        <is>
          <t>West</t>
        </is>
      </c>
      <c r="D224" t="inlineStr">
        <is>
          <t>Corporate</t>
        </is>
      </c>
      <c r="E224" t="inlineStr">
        <is>
          <t>Wireless Mouse</t>
        </is>
      </c>
      <c r="F224" t="inlineStr">
        <is>
          <t>Accessories</t>
        </is>
      </c>
      <c r="G224" t="n">
        <v>8</v>
      </c>
      <c r="H224" s="3" t="n">
        <v>22.5</v>
      </c>
      <c r="I224" s="4" t="n">
        <v>0.1</v>
      </c>
      <c r="J224" s="3" t="n">
        <v>14</v>
      </c>
      <c r="K224" s="3">
        <f>G224*H224</f>
        <v/>
      </c>
      <c r="L224" s="3">
        <f>G224*J224</f>
        <v/>
      </c>
      <c r="M224" s="3">
        <f>K224-L224</f>
        <v/>
      </c>
      <c r="N224" s="5">
        <f>IFERROR(M224/K224,0)</f>
        <v/>
      </c>
    </row>
    <row r="225">
      <c r="A225" t="inlineStr">
        <is>
          <t>ORD-0224</t>
        </is>
      </c>
      <c r="B225" s="2" t="n">
        <v>45870</v>
      </c>
      <c r="C225" t="inlineStr">
        <is>
          <t>North</t>
        </is>
      </c>
      <c r="D225" t="inlineStr">
        <is>
          <t>Retail</t>
        </is>
      </c>
      <c r="E225" t="inlineStr">
        <is>
          <t>Desk Lamp</t>
        </is>
      </c>
      <c r="F225" t="inlineStr">
        <is>
          <t>Office</t>
        </is>
      </c>
      <c r="G225" t="n">
        <v>5</v>
      </c>
      <c r="H225" s="3" t="n">
        <v>42</v>
      </c>
      <c r="I225" s="4" t="n">
        <v>0</v>
      </c>
      <c r="J225" s="3" t="n">
        <v>24</v>
      </c>
      <c r="K225" s="3">
        <f>G225*H225</f>
        <v/>
      </c>
      <c r="L225" s="3">
        <f>G225*J225</f>
        <v/>
      </c>
      <c r="M225" s="3">
        <f>K225-L225</f>
        <v/>
      </c>
      <c r="N225" s="5">
        <f>IFERROR(M225/K225,0)</f>
        <v/>
      </c>
    </row>
    <row r="226">
      <c r="A226" t="inlineStr">
        <is>
          <t>ORD-0225</t>
        </is>
      </c>
      <c r="B226" s="2" t="n">
        <v>45714</v>
      </c>
      <c r="C226" t="inlineStr">
        <is>
          <t>West</t>
        </is>
      </c>
      <c r="D226" t="inlineStr">
        <is>
          <t>Corporate</t>
        </is>
      </c>
      <c r="E226" t="inlineStr">
        <is>
          <t>Notebook Set</t>
        </is>
      </c>
      <c r="F226" t="inlineStr">
        <is>
          <t>Stationery</t>
        </is>
      </c>
      <c r="G226" t="n">
        <v>5</v>
      </c>
      <c r="H226" s="3" t="n">
        <v>10.2</v>
      </c>
      <c r="I226" s="4" t="n">
        <v>0.15</v>
      </c>
      <c r="J226" s="3" t="n">
        <v>5</v>
      </c>
      <c r="K226" s="3">
        <f>G226*H226</f>
        <v/>
      </c>
      <c r="L226" s="3">
        <f>G226*J226</f>
        <v/>
      </c>
      <c r="M226" s="3">
        <f>K226-L226</f>
        <v/>
      </c>
      <c r="N226" s="5">
        <f>IFERROR(M226/K226,0)</f>
        <v/>
      </c>
    </row>
    <row r="227">
      <c r="A227" t="inlineStr">
        <is>
          <t>ORD-0226</t>
        </is>
      </c>
      <c r="B227" s="2" t="n">
        <v>45681</v>
      </c>
      <c r="C227" t="inlineStr">
        <is>
          <t>North</t>
        </is>
      </c>
      <c r="D227" t="inlineStr">
        <is>
          <t>Online</t>
        </is>
      </c>
      <c r="E227" t="inlineStr">
        <is>
          <t>USB-C Hub</t>
        </is>
      </c>
      <c r="F227" t="inlineStr">
        <is>
          <t>Electronics</t>
        </is>
      </c>
      <c r="G227" t="n">
        <v>4</v>
      </c>
      <c r="H227" s="3" t="n">
        <v>44.1</v>
      </c>
      <c r="I227" s="4" t="n">
        <v>0.1</v>
      </c>
      <c r="J227" s="3" t="n">
        <v>28</v>
      </c>
      <c r="K227" s="3">
        <f>G227*H227</f>
        <v/>
      </c>
      <c r="L227" s="3">
        <f>G227*J227</f>
        <v/>
      </c>
      <c r="M227" s="3">
        <f>K227-L227</f>
        <v/>
      </c>
      <c r="N227" s="5">
        <f>IFERROR(M227/K227,0)</f>
        <v/>
      </c>
    </row>
    <row r="228">
      <c r="A228" t="inlineStr">
        <is>
          <t>ORD-0227</t>
        </is>
      </c>
      <c r="B228" s="2" t="n">
        <v>45812</v>
      </c>
      <c r="C228" t="inlineStr">
        <is>
          <t>East</t>
        </is>
      </c>
      <c r="D228" t="inlineStr">
        <is>
          <t>Retail</t>
        </is>
      </c>
      <c r="E228" t="inlineStr">
        <is>
          <t>Monitor</t>
        </is>
      </c>
      <c r="F228" t="inlineStr">
        <is>
          <t>Electronics</t>
        </is>
      </c>
      <c r="G228" t="n">
        <v>4</v>
      </c>
      <c r="H228" s="3" t="n">
        <v>220</v>
      </c>
      <c r="I228" s="4" t="n">
        <v>0</v>
      </c>
      <c r="J228" s="3" t="n">
        <v>145</v>
      </c>
      <c r="K228" s="3">
        <f>G228*H228</f>
        <v/>
      </c>
      <c r="L228" s="3">
        <f>G228*J228</f>
        <v/>
      </c>
      <c r="M228" s="3">
        <f>K228-L228</f>
        <v/>
      </c>
      <c r="N228" s="5">
        <f>IFERROR(M228/K228,0)</f>
        <v/>
      </c>
    </row>
    <row r="229">
      <c r="A229" t="inlineStr">
        <is>
          <t>ORD-0228</t>
        </is>
      </c>
      <c r="B229" s="2" t="n">
        <v>45719</v>
      </c>
      <c r="C229" t="inlineStr">
        <is>
          <t>West</t>
        </is>
      </c>
      <c r="D229" t="inlineStr">
        <is>
          <t>Online</t>
        </is>
      </c>
      <c r="E229" t="inlineStr">
        <is>
          <t>Headphones</t>
        </is>
      </c>
      <c r="F229" t="inlineStr">
        <is>
          <t>Electronics</t>
        </is>
      </c>
      <c r="G229" t="n">
        <v>1</v>
      </c>
      <c r="H229" s="3" t="n">
        <v>71.09999999999999</v>
      </c>
      <c r="I229" s="4" t="n">
        <v>0.1</v>
      </c>
      <c r="J229" s="3" t="n">
        <v>48</v>
      </c>
      <c r="K229" s="3">
        <f>G229*H229</f>
        <v/>
      </c>
      <c r="L229" s="3">
        <f>G229*J229</f>
        <v/>
      </c>
      <c r="M229" s="3">
        <f>K229-L229</f>
        <v/>
      </c>
      <c r="N229" s="5">
        <f>IFERROR(M229/K229,0)</f>
        <v/>
      </c>
    </row>
    <row r="230">
      <c r="A230" t="inlineStr">
        <is>
          <t>ORD-0229</t>
        </is>
      </c>
      <c r="B230" s="2" t="n">
        <v>45852</v>
      </c>
      <c r="C230" t="inlineStr">
        <is>
          <t>East</t>
        </is>
      </c>
      <c r="D230" t="inlineStr">
        <is>
          <t>Online</t>
        </is>
      </c>
      <c r="E230" t="inlineStr">
        <is>
          <t>Keyboard</t>
        </is>
      </c>
      <c r="F230" t="inlineStr">
        <is>
          <t>Accessories</t>
        </is>
      </c>
      <c r="G230" t="n">
        <v>4</v>
      </c>
      <c r="H230" s="3" t="n">
        <v>33.15</v>
      </c>
      <c r="I230" s="4" t="n">
        <v>0.15</v>
      </c>
      <c r="J230" s="3" t="n">
        <v>22</v>
      </c>
      <c r="K230" s="3">
        <f>G230*H230</f>
        <v/>
      </c>
      <c r="L230" s="3">
        <f>G230*J230</f>
        <v/>
      </c>
      <c r="M230" s="3">
        <f>K230-L230</f>
        <v/>
      </c>
      <c r="N230" s="5">
        <f>IFERROR(M230/K230,0)</f>
        <v/>
      </c>
    </row>
    <row r="231">
      <c r="A231" t="inlineStr">
        <is>
          <t>ORD-0230</t>
        </is>
      </c>
      <c r="B231" s="2" t="n">
        <v>45679</v>
      </c>
      <c r="C231" t="inlineStr">
        <is>
          <t>West</t>
        </is>
      </c>
      <c r="D231" t="inlineStr">
        <is>
          <t>Online</t>
        </is>
      </c>
      <c r="E231" t="inlineStr">
        <is>
          <t>Notebook Set</t>
        </is>
      </c>
      <c r="F231" t="inlineStr">
        <is>
          <t>Stationery</t>
        </is>
      </c>
      <c r="G231" t="n">
        <v>7</v>
      </c>
      <c r="H231" s="3" t="n">
        <v>12</v>
      </c>
      <c r="I231" s="4" t="n">
        <v>0</v>
      </c>
      <c r="J231" s="3" t="n">
        <v>5</v>
      </c>
      <c r="K231" s="3">
        <f>G231*H231</f>
        <v/>
      </c>
      <c r="L231" s="3">
        <f>G231*J231</f>
        <v/>
      </c>
      <c r="M231" s="3">
        <f>K231-L231</f>
        <v/>
      </c>
      <c r="N231" s="5">
        <f>IFERROR(M231/K231,0)</f>
        <v/>
      </c>
    </row>
    <row r="232">
      <c r="A232" t="inlineStr">
        <is>
          <t>ORD-0231</t>
        </is>
      </c>
      <c r="B232" s="2" t="n">
        <v>45952</v>
      </c>
      <c r="C232" t="inlineStr">
        <is>
          <t>West</t>
        </is>
      </c>
      <c r="D232" t="inlineStr">
        <is>
          <t>Corporate</t>
        </is>
      </c>
      <c r="E232" t="inlineStr">
        <is>
          <t>Headphones</t>
        </is>
      </c>
      <c r="F232" t="inlineStr">
        <is>
          <t>Electronics</t>
        </is>
      </c>
      <c r="G232" t="n">
        <v>7</v>
      </c>
      <c r="H232" s="3" t="n">
        <v>67.15000000000001</v>
      </c>
      <c r="I232" s="4" t="n">
        <v>0.15</v>
      </c>
      <c r="J232" s="3" t="n">
        <v>48</v>
      </c>
      <c r="K232" s="3">
        <f>G232*H232</f>
        <v/>
      </c>
      <c r="L232" s="3">
        <f>G232*J232</f>
        <v/>
      </c>
      <c r="M232" s="3">
        <f>K232-L232</f>
        <v/>
      </c>
      <c r="N232" s="5">
        <f>IFERROR(M232/K232,0)</f>
        <v/>
      </c>
    </row>
    <row r="233">
      <c r="A233" t="inlineStr">
        <is>
          <t>ORD-0232</t>
        </is>
      </c>
      <c r="B233" s="2" t="n">
        <v>45806</v>
      </c>
      <c r="C233" t="inlineStr">
        <is>
          <t>North</t>
        </is>
      </c>
      <c r="D233" t="inlineStr">
        <is>
          <t>Retail</t>
        </is>
      </c>
      <c r="E233" t="inlineStr">
        <is>
          <t>Notebook Set</t>
        </is>
      </c>
      <c r="F233" t="inlineStr">
        <is>
          <t>Stationery</t>
        </is>
      </c>
      <c r="G233" t="n">
        <v>2</v>
      </c>
      <c r="H233" s="3" t="n">
        <v>10.8</v>
      </c>
      <c r="I233" s="4" t="n">
        <v>0.1</v>
      </c>
      <c r="J233" s="3" t="n">
        <v>5</v>
      </c>
      <c r="K233" s="3">
        <f>G233*H233</f>
        <v/>
      </c>
      <c r="L233" s="3">
        <f>G233*J233</f>
        <v/>
      </c>
      <c r="M233" s="3">
        <f>K233-L233</f>
        <v/>
      </c>
      <c r="N233" s="5">
        <f>IFERROR(M233/K233,0)</f>
        <v/>
      </c>
    </row>
    <row r="234">
      <c r="A234" t="inlineStr">
        <is>
          <t>ORD-0233</t>
        </is>
      </c>
      <c r="B234" s="2" t="n">
        <v>45974</v>
      </c>
      <c r="C234" t="inlineStr">
        <is>
          <t>North</t>
        </is>
      </c>
      <c r="D234" t="inlineStr">
        <is>
          <t>Retail</t>
        </is>
      </c>
      <c r="E234" t="inlineStr">
        <is>
          <t>Keyboard</t>
        </is>
      </c>
      <c r="F234" t="inlineStr">
        <is>
          <t>Accessories</t>
        </is>
      </c>
      <c r="G234" t="n">
        <v>8</v>
      </c>
      <c r="H234" s="3" t="n">
        <v>37.05</v>
      </c>
      <c r="I234" s="4" t="n">
        <v>0.05</v>
      </c>
      <c r="J234" s="3" t="n">
        <v>22</v>
      </c>
      <c r="K234" s="3">
        <f>G234*H234</f>
        <v/>
      </c>
      <c r="L234" s="3">
        <f>G234*J234</f>
        <v/>
      </c>
      <c r="M234" s="3">
        <f>K234-L234</f>
        <v/>
      </c>
      <c r="N234" s="5">
        <f>IFERROR(M234/K234,0)</f>
        <v/>
      </c>
    </row>
    <row r="235">
      <c r="A235" t="inlineStr">
        <is>
          <t>ORD-0234</t>
        </is>
      </c>
      <c r="B235" s="2" t="n">
        <v>45782</v>
      </c>
      <c r="C235" t="inlineStr">
        <is>
          <t>West</t>
        </is>
      </c>
      <c r="D235" t="inlineStr">
        <is>
          <t>Corporate</t>
        </is>
      </c>
      <c r="E235" t="inlineStr">
        <is>
          <t>Wireless Mouse</t>
        </is>
      </c>
      <c r="F235" t="inlineStr">
        <is>
          <t>Accessories</t>
        </is>
      </c>
      <c r="G235" t="n">
        <v>7</v>
      </c>
      <c r="H235" s="3" t="n">
        <v>21.25</v>
      </c>
      <c r="I235" s="4" t="n">
        <v>0.15</v>
      </c>
      <c r="J235" s="3" t="n">
        <v>14</v>
      </c>
      <c r="K235" s="3">
        <f>G235*H235</f>
        <v/>
      </c>
      <c r="L235" s="3">
        <f>G235*J235</f>
        <v/>
      </c>
      <c r="M235" s="3">
        <f>K235-L235</f>
        <v/>
      </c>
      <c r="N235" s="5">
        <f>IFERROR(M235/K235,0)</f>
        <v/>
      </c>
    </row>
    <row r="236">
      <c r="A236" t="inlineStr">
        <is>
          <t>ORD-0235</t>
        </is>
      </c>
      <c r="B236" s="2" t="n">
        <v>45860</v>
      </c>
      <c r="C236" t="inlineStr">
        <is>
          <t>South</t>
        </is>
      </c>
      <c r="D236" t="inlineStr">
        <is>
          <t>Retail</t>
        </is>
      </c>
      <c r="E236" t="inlineStr">
        <is>
          <t>Wireless Mouse</t>
        </is>
      </c>
      <c r="F236" t="inlineStr">
        <is>
          <t>Accessories</t>
        </is>
      </c>
      <c r="G236" t="n">
        <v>5</v>
      </c>
      <c r="H236" s="3" t="n">
        <v>23.75</v>
      </c>
      <c r="I236" s="4" t="n">
        <v>0.05</v>
      </c>
      <c r="J236" s="3" t="n">
        <v>14</v>
      </c>
      <c r="K236" s="3">
        <f>G236*H236</f>
        <v/>
      </c>
      <c r="L236" s="3">
        <f>G236*J236</f>
        <v/>
      </c>
      <c r="M236" s="3">
        <f>K236-L236</f>
        <v/>
      </c>
      <c r="N236" s="5">
        <f>IFERROR(M236/K236,0)</f>
        <v/>
      </c>
    </row>
    <row r="237">
      <c r="A237" t="inlineStr">
        <is>
          <t>ORD-0236</t>
        </is>
      </c>
      <c r="B237" s="2" t="n">
        <v>45697</v>
      </c>
      <c r="C237" t="inlineStr">
        <is>
          <t>South</t>
        </is>
      </c>
      <c r="D237" t="inlineStr">
        <is>
          <t>Retail</t>
        </is>
      </c>
      <c r="E237" t="inlineStr">
        <is>
          <t>Keyboard</t>
        </is>
      </c>
      <c r="F237" t="inlineStr">
        <is>
          <t>Accessories</t>
        </is>
      </c>
      <c r="G237" t="n">
        <v>2</v>
      </c>
      <c r="H237" s="3" t="n">
        <v>33.15</v>
      </c>
      <c r="I237" s="4" t="n">
        <v>0.15</v>
      </c>
      <c r="J237" s="3" t="n">
        <v>22</v>
      </c>
      <c r="K237" s="3">
        <f>G237*H237</f>
        <v/>
      </c>
      <c r="L237" s="3">
        <f>G237*J237</f>
        <v/>
      </c>
      <c r="M237" s="3">
        <f>K237-L237</f>
        <v/>
      </c>
      <c r="N237" s="5">
        <f>IFERROR(M237/K237,0)</f>
        <v/>
      </c>
    </row>
    <row r="238">
      <c r="A238" t="inlineStr">
        <is>
          <t>ORD-0237</t>
        </is>
      </c>
      <c r="B238" s="2" t="n">
        <v>45988</v>
      </c>
      <c r="C238" t="inlineStr">
        <is>
          <t>North</t>
        </is>
      </c>
      <c r="D238" t="inlineStr">
        <is>
          <t>Online</t>
        </is>
      </c>
      <c r="E238" t="inlineStr">
        <is>
          <t>Headphones</t>
        </is>
      </c>
      <c r="F238" t="inlineStr">
        <is>
          <t>Electronics</t>
        </is>
      </c>
      <c r="G238" t="n">
        <v>3</v>
      </c>
      <c r="H238" s="3" t="n">
        <v>79</v>
      </c>
      <c r="I238" s="4" t="n">
        <v>0</v>
      </c>
      <c r="J238" s="3" t="n">
        <v>48</v>
      </c>
      <c r="K238" s="3">
        <f>G238*H238</f>
        <v/>
      </c>
      <c r="L238" s="3">
        <f>G238*J238</f>
        <v/>
      </c>
      <c r="M238" s="3">
        <f>K238-L238</f>
        <v/>
      </c>
      <c r="N238" s="5">
        <f>IFERROR(M238/K238,0)</f>
        <v/>
      </c>
    </row>
    <row r="239">
      <c r="A239" t="inlineStr">
        <is>
          <t>ORD-0238</t>
        </is>
      </c>
      <c r="B239" s="2" t="n">
        <v>45759</v>
      </c>
      <c r="C239" t="inlineStr">
        <is>
          <t>South</t>
        </is>
      </c>
      <c r="D239" t="inlineStr">
        <is>
          <t>Corporate</t>
        </is>
      </c>
      <c r="E239" t="inlineStr">
        <is>
          <t>USB-C Hub</t>
        </is>
      </c>
      <c r="F239" t="inlineStr">
        <is>
          <t>Electronics</t>
        </is>
      </c>
      <c r="G239" t="n">
        <v>3</v>
      </c>
      <c r="H239" s="3" t="n">
        <v>41.65</v>
      </c>
      <c r="I239" s="4" t="n">
        <v>0.15</v>
      </c>
      <c r="J239" s="3" t="n">
        <v>28</v>
      </c>
      <c r="K239" s="3">
        <f>G239*H239</f>
        <v/>
      </c>
      <c r="L239" s="3">
        <f>G239*J239</f>
        <v/>
      </c>
      <c r="M239" s="3">
        <f>K239-L239</f>
        <v/>
      </c>
      <c r="N239" s="5">
        <f>IFERROR(M239/K239,0)</f>
        <v/>
      </c>
    </row>
    <row r="240">
      <c r="A240" t="inlineStr">
        <is>
          <t>ORD-0239</t>
        </is>
      </c>
      <c r="B240" s="2" t="n">
        <v>45748</v>
      </c>
      <c r="C240" t="inlineStr">
        <is>
          <t>West</t>
        </is>
      </c>
      <c r="D240" t="inlineStr">
        <is>
          <t>Corporate</t>
        </is>
      </c>
      <c r="E240" t="inlineStr">
        <is>
          <t>Wireless Mouse</t>
        </is>
      </c>
      <c r="F240" t="inlineStr">
        <is>
          <t>Accessories</t>
        </is>
      </c>
      <c r="G240" t="n">
        <v>8</v>
      </c>
      <c r="H240" s="3" t="n">
        <v>22.5</v>
      </c>
      <c r="I240" s="4" t="n">
        <v>0.1</v>
      </c>
      <c r="J240" s="3" t="n">
        <v>14</v>
      </c>
      <c r="K240" s="3">
        <f>G240*H240</f>
        <v/>
      </c>
      <c r="L240" s="3">
        <f>G240*J240</f>
        <v/>
      </c>
      <c r="M240" s="3">
        <f>K240-L240</f>
        <v/>
      </c>
      <c r="N240" s="5">
        <f>IFERROR(M240/K240,0)</f>
        <v/>
      </c>
    </row>
    <row r="241">
      <c r="A241" t="inlineStr">
        <is>
          <t>ORD-0240</t>
        </is>
      </c>
      <c r="B241" s="2" t="n">
        <v>45979</v>
      </c>
      <c r="C241" t="inlineStr">
        <is>
          <t>West</t>
        </is>
      </c>
      <c r="D241" t="inlineStr">
        <is>
          <t>Online</t>
        </is>
      </c>
      <c r="E241" t="inlineStr">
        <is>
          <t>Headphones</t>
        </is>
      </c>
      <c r="F241" t="inlineStr">
        <is>
          <t>Electronics</t>
        </is>
      </c>
      <c r="G241" t="n">
        <v>6</v>
      </c>
      <c r="H241" s="3" t="n">
        <v>79</v>
      </c>
      <c r="I241" s="4" t="n">
        <v>0</v>
      </c>
      <c r="J241" s="3" t="n">
        <v>48</v>
      </c>
      <c r="K241" s="3">
        <f>G241*H241</f>
        <v/>
      </c>
      <c r="L241" s="3">
        <f>G241*J241</f>
        <v/>
      </c>
      <c r="M241" s="3">
        <f>K241-L241</f>
        <v/>
      </c>
      <c r="N241" s="5">
        <f>IFERROR(M241/K241,0)</f>
        <v/>
      </c>
    </row>
    <row r="242">
      <c r="A242" t="inlineStr">
        <is>
          <t>ORD-0241</t>
        </is>
      </c>
      <c r="B242" s="2" t="n">
        <v>45884</v>
      </c>
      <c r="C242" t="inlineStr">
        <is>
          <t>North</t>
        </is>
      </c>
      <c r="D242" t="inlineStr">
        <is>
          <t>Retail</t>
        </is>
      </c>
      <c r="E242" t="inlineStr">
        <is>
          <t>Desk Lamp</t>
        </is>
      </c>
      <c r="F242" t="inlineStr">
        <is>
          <t>Office</t>
        </is>
      </c>
      <c r="G242" t="n">
        <v>5</v>
      </c>
      <c r="H242" s="3" t="n">
        <v>39.9</v>
      </c>
      <c r="I242" s="4" t="n">
        <v>0.05</v>
      </c>
      <c r="J242" s="3" t="n">
        <v>24</v>
      </c>
      <c r="K242" s="3">
        <f>G242*H242</f>
        <v/>
      </c>
      <c r="L242" s="3">
        <f>G242*J242</f>
        <v/>
      </c>
      <c r="M242" s="3">
        <f>K242-L242</f>
        <v/>
      </c>
      <c r="N242" s="5">
        <f>IFERROR(M242/K242,0)</f>
        <v/>
      </c>
    </row>
    <row r="243">
      <c r="A243" t="inlineStr">
        <is>
          <t>ORD-0242</t>
        </is>
      </c>
      <c r="B243" s="2" t="n">
        <v>45816</v>
      </c>
      <c r="C243" t="inlineStr">
        <is>
          <t>North</t>
        </is>
      </c>
      <c r="D243" t="inlineStr">
        <is>
          <t>Online</t>
        </is>
      </c>
      <c r="E243" t="inlineStr">
        <is>
          <t>Wireless Mouse</t>
        </is>
      </c>
      <c r="F243" t="inlineStr">
        <is>
          <t>Accessories</t>
        </is>
      </c>
      <c r="G243" t="n">
        <v>8</v>
      </c>
      <c r="H243" s="3" t="n">
        <v>22.5</v>
      </c>
      <c r="I243" s="4" t="n">
        <v>0.1</v>
      </c>
      <c r="J243" s="3" t="n">
        <v>14</v>
      </c>
      <c r="K243" s="3">
        <f>G243*H243</f>
        <v/>
      </c>
      <c r="L243" s="3">
        <f>G243*J243</f>
        <v/>
      </c>
      <c r="M243" s="3">
        <f>K243-L243</f>
        <v/>
      </c>
      <c r="N243" s="5">
        <f>IFERROR(M243/K243,0)</f>
        <v/>
      </c>
    </row>
    <row r="244">
      <c r="A244" t="inlineStr">
        <is>
          <t>ORD-0243</t>
        </is>
      </c>
      <c r="B244" s="2" t="n">
        <v>45804</v>
      </c>
      <c r="C244" t="inlineStr">
        <is>
          <t>West</t>
        </is>
      </c>
      <c r="D244" t="inlineStr">
        <is>
          <t>Retail</t>
        </is>
      </c>
      <c r="E244" t="inlineStr">
        <is>
          <t>Headphones</t>
        </is>
      </c>
      <c r="F244" t="inlineStr">
        <is>
          <t>Electronics</t>
        </is>
      </c>
      <c r="G244" t="n">
        <v>2</v>
      </c>
      <c r="H244" s="3" t="n">
        <v>79</v>
      </c>
      <c r="I244" s="4" t="n">
        <v>0</v>
      </c>
      <c r="J244" s="3" t="n">
        <v>48</v>
      </c>
      <c r="K244" s="3">
        <f>G244*H244</f>
        <v/>
      </c>
      <c r="L244" s="3">
        <f>G244*J244</f>
        <v/>
      </c>
      <c r="M244" s="3">
        <f>K244-L244</f>
        <v/>
      </c>
      <c r="N244" s="5">
        <f>IFERROR(M244/K244,0)</f>
        <v/>
      </c>
    </row>
    <row r="245">
      <c r="A245" t="inlineStr">
        <is>
          <t>ORD-0244</t>
        </is>
      </c>
      <c r="B245" s="2" t="n">
        <v>45888</v>
      </c>
      <c r="C245" t="inlineStr">
        <is>
          <t>West</t>
        </is>
      </c>
      <c r="D245" t="inlineStr">
        <is>
          <t>Corporate</t>
        </is>
      </c>
      <c r="E245" t="inlineStr">
        <is>
          <t>Laptop Stand</t>
        </is>
      </c>
      <c r="F245" t="inlineStr">
        <is>
          <t>Accessories</t>
        </is>
      </c>
      <c r="G245" t="n">
        <v>4</v>
      </c>
      <c r="H245" s="3" t="n">
        <v>52.25</v>
      </c>
      <c r="I245" s="4" t="n">
        <v>0.05</v>
      </c>
      <c r="J245" s="3" t="n">
        <v>32</v>
      </c>
      <c r="K245" s="3">
        <f>G245*H245</f>
        <v/>
      </c>
      <c r="L245" s="3">
        <f>G245*J245</f>
        <v/>
      </c>
      <c r="M245" s="3">
        <f>K245-L245</f>
        <v/>
      </c>
      <c r="N245" s="5">
        <f>IFERROR(M245/K245,0)</f>
        <v/>
      </c>
    </row>
    <row r="246">
      <c r="A246" t="inlineStr">
        <is>
          <t>ORD-0245</t>
        </is>
      </c>
      <c r="B246" s="2" t="n">
        <v>45689</v>
      </c>
      <c r="C246" t="inlineStr">
        <is>
          <t>East</t>
        </is>
      </c>
      <c r="D246" t="inlineStr">
        <is>
          <t>Corporate</t>
        </is>
      </c>
      <c r="E246" t="inlineStr">
        <is>
          <t>Keyboard</t>
        </is>
      </c>
      <c r="F246" t="inlineStr">
        <is>
          <t>Accessories</t>
        </is>
      </c>
      <c r="G246" t="n">
        <v>8</v>
      </c>
      <c r="H246" s="3" t="n">
        <v>39</v>
      </c>
      <c r="I246" s="4" t="n">
        <v>0</v>
      </c>
      <c r="J246" s="3" t="n">
        <v>22</v>
      </c>
      <c r="K246" s="3">
        <f>G246*H246</f>
        <v/>
      </c>
      <c r="L246" s="3">
        <f>G246*J246</f>
        <v/>
      </c>
      <c r="M246" s="3">
        <f>K246-L246</f>
        <v/>
      </c>
      <c r="N246" s="5">
        <f>IFERROR(M246/K246,0)</f>
        <v/>
      </c>
    </row>
    <row r="247">
      <c r="A247" t="inlineStr">
        <is>
          <t>ORD-0246</t>
        </is>
      </c>
      <c r="B247" s="2" t="n">
        <v>45916</v>
      </c>
      <c r="C247" t="inlineStr">
        <is>
          <t>South</t>
        </is>
      </c>
      <c r="D247" t="inlineStr">
        <is>
          <t>Corporate</t>
        </is>
      </c>
      <c r="E247" t="inlineStr">
        <is>
          <t>Wireless Mouse</t>
        </is>
      </c>
      <c r="F247" t="inlineStr">
        <is>
          <t>Accessories</t>
        </is>
      </c>
      <c r="G247" t="n">
        <v>3</v>
      </c>
      <c r="H247" s="3" t="n">
        <v>25</v>
      </c>
      <c r="I247" s="4" t="n">
        <v>0</v>
      </c>
      <c r="J247" s="3" t="n">
        <v>14</v>
      </c>
      <c r="K247" s="3">
        <f>G247*H247</f>
        <v/>
      </c>
      <c r="L247" s="3">
        <f>G247*J247</f>
        <v/>
      </c>
      <c r="M247" s="3">
        <f>K247-L247</f>
        <v/>
      </c>
      <c r="N247" s="5">
        <f>IFERROR(M247/K247,0)</f>
        <v/>
      </c>
    </row>
    <row r="248">
      <c r="A248" t="inlineStr">
        <is>
          <t>ORD-0247</t>
        </is>
      </c>
      <c r="B248" s="2" t="n">
        <v>45882</v>
      </c>
      <c r="C248" t="inlineStr">
        <is>
          <t>East</t>
        </is>
      </c>
      <c r="D248" t="inlineStr">
        <is>
          <t>Retail</t>
        </is>
      </c>
      <c r="E248" t="inlineStr">
        <is>
          <t>Desk Lamp</t>
        </is>
      </c>
      <c r="F248" t="inlineStr">
        <is>
          <t>Office</t>
        </is>
      </c>
      <c r="G248" t="n">
        <v>3</v>
      </c>
      <c r="H248" s="3" t="n">
        <v>39.9</v>
      </c>
      <c r="I248" s="4" t="n">
        <v>0.05</v>
      </c>
      <c r="J248" s="3" t="n">
        <v>24</v>
      </c>
      <c r="K248" s="3">
        <f>G248*H248</f>
        <v/>
      </c>
      <c r="L248" s="3">
        <f>G248*J248</f>
        <v/>
      </c>
      <c r="M248" s="3">
        <f>K248-L248</f>
        <v/>
      </c>
      <c r="N248" s="5">
        <f>IFERROR(M248/K248,0)</f>
        <v/>
      </c>
    </row>
    <row r="249">
      <c r="A249" t="inlineStr">
        <is>
          <t>ORD-0248</t>
        </is>
      </c>
      <c r="B249" s="2" t="n">
        <v>45867</v>
      </c>
      <c r="C249" t="inlineStr">
        <is>
          <t>North</t>
        </is>
      </c>
      <c r="D249" t="inlineStr">
        <is>
          <t>Corporate</t>
        </is>
      </c>
      <c r="E249" t="inlineStr">
        <is>
          <t>Notebook Set</t>
        </is>
      </c>
      <c r="F249" t="inlineStr">
        <is>
          <t>Stationery</t>
        </is>
      </c>
      <c r="G249" t="n">
        <v>6</v>
      </c>
      <c r="H249" s="3" t="n">
        <v>10.2</v>
      </c>
      <c r="I249" s="4" t="n">
        <v>0.15</v>
      </c>
      <c r="J249" s="3" t="n">
        <v>5</v>
      </c>
      <c r="K249" s="3">
        <f>G249*H249</f>
        <v/>
      </c>
      <c r="L249" s="3">
        <f>G249*J249</f>
        <v/>
      </c>
      <c r="M249" s="3">
        <f>K249-L249</f>
        <v/>
      </c>
      <c r="N249" s="5">
        <f>IFERROR(M249/K249,0)</f>
        <v/>
      </c>
    </row>
    <row r="250">
      <c r="A250" t="inlineStr">
        <is>
          <t>ORD-0249</t>
        </is>
      </c>
      <c r="B250" s="2" t="n">
        <v>45691</v>
      </c>
      <c r="C250" t="inlineStr">
        <is>
          <t>West</t>
        </is>
      </c>
      <c r="D250" t="inlineStr">
        <is>
          <t>Retail</t>
        </is>
      </c>
      <c r="E250" t="inlineStr">
        <is>
          <t>Headphones</t>
        </is>
      </c>
      <c r="F250" t="inlineStr">
        <is>
          <t>Electronics</t>
        </is>
      </c>
      <c r="G250" t="n">
        <v>6</v>
      </c>
      <c r="H250" s="3" t="n">
        <v>79</v>
      </c>
      <c r="I250" s="4" t="n">
        <v>0</v>
      </c>
      <c r="J250" s="3" t="n">
        <v>48</v>
      </c>
      <c r="K250" s="3">
        <f>G250*H250</f>
        <v/>
      </c>
      <c r="L250" s="3">
        <f>G250*J250</f>
        <v/>
      </c>
      <c r="M250" s="3">
        <f>K250-L250</f>
        <v/>
      </c>
      <c r="N250" s="5">
        <f>IFERROR(M250/K250,0)</f>
        <v/>
      </c>
    </row>
    <row r="251">
      <c r="A251" t="inlineStr">
        <is>
          <t>ORD-0250</t>
        </is>
      </c>
      <c r="B251" s="2" t="n">
        <v>45994</v>
      </c>
      <c r="C251" t="inlineStr">
        <is>
          <t>North</t>
        </is>
      </c>
      <c r="D251" t="inlineStr">
        <is>
          <t>Corporate</t>
        </is>
      </c>
      <c r="E251" t="inlineStr">
        <is>
          <t>USB-C Hub</t>
        </is>
      </c>
      <c r="F251" t="inlineStr">
        <is>
          <t>Electronics</t>
        </is>
      </c>
      <c r="G251" t="n">
        <v>3</v>
      </c>
      <c r="H251" s="3" t="n">
        <v>46.55</v>
      </c>
      <c r="I251" s="4" t="n">
        <v>0.05</v>
      </c>
      <c r="J251" s="3" t="n">
        <v>28</v>
      </c>
      <c r="K251" s="3">
        <f>G251*H251</f>
        <v/>
      </c>
      <c r="L251" s="3">
        <f>G251*J251</f>
        <v/>
      </c>
      <c r="M251" s="3">
        <f>K251-L251</f>
        <v/>
      </c>
      <c r="N251" s="5">
        <f>IFERROR(M251/K251,0)</f>
        <v/>
      </c>
    </row>
    <row r="252">
      <c r="A252" t="inlineStr">
        <is>
          <t>ORD-0251</t>
        </is>
      </c>
      <c r="B252" s="2" t="n">
        <v>45837</v>
      </c>
      <c r="C252" t="inlineStr">
        <is>
          <t>South</t>
        </is>
      </c>
      <c r="D252" t="inlineStr">
        <is>
          <t>Corporate</t>
        </is>
      </c>
      <c r="E252" t="inlineStr">
        <is>
          <t>Keyboard</t>
        </is>
      </c>
      <c r="F252" t="inlineStr">
        <is>
          <t>Accessories</t>
        </is>
      </c>
      <c r="G252" t="n">
        <v>5</v>
      </c>
      <c r="H252" s="3" t="n">
        <v>35.1</v>
      </c>
      <c r="I252" s="4" t="n">
        <v>0.1</v>
      </c>
      <c r="J252" s="3" t="n">
        <v>22</v>
      </c>
      <c r="K252" s="3">
        <f>G252*H252</f>
        <v/>
      </c>
      <c r="L252" s="3">
        <f>G252*J252</f>
        <v/>
      </c>
      <c r="M252" s="3">
        <f>K252-L252</f>
        <v/>
      </c>
      <c r="N252" s="5">
        <f>IFERROR(M252/K252,0)</f>
        <v/>
      </c>
    </row>
    <row r="253">
      <c r="A253" t="inlineStr">
        <is>
          <t>ORD-0252</t>
        </is>
      </c>
      <c r="B253" s="2" t="n">
        <v>45816</v>
      </c>
      <c r="C253" t="inlineStr">
        <is>
          <t>South</t>
        </is>
      </c>
      <c r="D253" t="inlineStr">
        <is>
          <t>Corporate</t>
        </is>
      </c>
      <c r="E253" t="inlineStr">
        <is>
          <t>Wireless Mouse</t>
        </is>
      </c>
      <c r="F253" t="inlineStr">
        <is>
          <t>Accessories</t>
        </is>
      </c>
      <c r="G253" t="n">
        <v>7</v>
      </c>
      <c r="H253" s="3" t="n">
        <v>23.75</v>
      </c>
      <c r="I253" s="4" t="n">
        <v>0.05</v>
      </c>
      <c r="J253" s="3" t="n">
        <v>14</v>
      </c>
      <c r="K253" s="3">
        <f>G253*H253</f>
        <v/>
      </c>
      <c r="L253" s="3">
        <f>G253*J253</f>
        <v/>
      </c>
      <c r="M253" s="3">
        <f>K253-L253</f>
        <v/>
      </c>
      <c r="N253" s="5">
        <f>IFERROR(M253/K253,0)</f>
        <v/>
      </c>
    </row>
    <row r="254">
      <c r="A254" t="inlineStr">
        <is>
          <t>ORD-0253</t>
        </is>
      </c>
      <c r="B254" s="2" t="n">
        <v>45988</v>
      </c>
      <c r="C254" t="inlineStr">
        <is>
          <t>East</t>
        </is>
      </c>
      <c r="D254" t="inlineStr">
        <is>
          <t>Online</t>
        </is>
      </c>
      <c r="E254" t="inlineStr">
        <is>
          <t>Wireless Mouse</t>
        </is>
      </c>
      <c r="F254" t="inlineStr">
        <is>
          <t>Accessories</t>
        </is>
      </c>
      <c r="G254" t="n">
        <v>7</v>
      </c>
      <c r="H254" s="3" t="n">
        <v>21.25</v>
      </c>
      <c r="I254" s="4" t="n">
        <v>0.15</v>
      </c>
      <c r="J254" s="3" t="n">
        <v>14</v>
      </c>
      <c r="K254" s="3">
        <f>G254*H254</f>
        <v/>
      </c>
      <c r="L254" s="3">
        <f>G254*J254</f>
        <v/>
      </c>
      <c r="M254" s="3">
        <f>K254-L254</f>
        <v/>
      </c>
      <c r="N254" s="5">
        <f>IFERROR(M254/K254,0)</f>
        <v/>
      </c>
    </row>
    <row r="255">
      <c r="A255" t="inlineStr">
        <is>
          <t>ORD-0254</t>
        </is>
      </c>
      <c r="B255" s="2" t="n">
        <v>45816</v>
      </c>
      <c r="C255" t="inlineStr">
        <is>
          <t>East</t>
        </is>
      </c>
      <c r="D255" t="inlineStr">
        <is>
          <t>Retail</t>
        </is>
      </c>
      <c r="E255" t="inlineStr">
        <is>
          <t>Headphones</t>
        </is>
      </c>
      <c r="F255" t="inlineStr">
        <is>
          <t>Electronics</t>
        </is>
      </c>
      <c r="G255" t="n">
        <v>3</v>
      </c>
      <c r="H255" s="3" t="n">
        <v>79</v>
      </c>
      <c r="I255" s="4" t="n">
        <v>0</v>
      </c>
      <c r="J255" s="3" t="n">
        <v>48</v>
      </c>
      <c r="K255" s="3">
        <f>G255*H255</f>
        <v/>
      </c>
      <c r="L255" s="3">
        <f>G255*J255</f>
        <v/>
      </c>
      <c r="M255" s="3">
        <f>K255-L255</f>
        <v/>
      </c>
      <c r="N255" s="5">
        <f>IFERROR(M255/K255,0)</f>
        <v/>
      </c>
    </row>
    <row r="256">
      <c r="A256" t="inlineStr">
        <is>
          <t>ORD-0255</t>
        </is>
      </c>
      <c r="B256" s="2" t="n">
        <v>45773</v>
      </c>
      <c r="C256" t="inlineStr">
        <is>
          <t>North</t>
        </is>
      </c>
      <c r="D256" t="inlineStr">
        <is>
          <t>Retail</t>
        </is>
      </c>
      <c r="E256" t="inlineStr">
        <is>
          <t>Monitor</t>
        </is>
      </c>
      <c r="F256" t="inlineStr">
        <is>
          <t>Electronics</t>
        </is>
      </c>
      <c r="G256" t="n">
        <v>3</v>
      </c>
      <c r="H256" s="3" t="n">
        <v>220</v>
      </c>
      <c r="I256" s="4" t="n">
        <v>0</v>
      </c>
      <c r="J256" s="3" t="n">
        <v>145</v>
      </c>
      <c r="K256" s="3">
        <f>G256*H256</f>
        <v/>
      </c>
      <c r="L256" s="3">
        <f>G256*J256</f>
        <v/>
      </c>
      <c r="M256" s="3">
        <f>K256-L256</f>
        <v/>
      </c>
      <c r="N256" s="5">
        <f>IFERROR(M256/K256,0)</f>
        <v/>
      </c>
    </row>
    <row r="257">
      <c r="A257" t="inlineStr">
        <is>
          <t>ORD-0256</t>
        </is>
      </c>
      <c r="B257" s="2" t="n">
        <v>45917</v>
      </c>
      <c r="C257" t="inlineStr">
        <is>
          <t>South</t>
        </is>
      </c>
      <c r="D257" t="inlineStr">
        <is>
          <t>Corporate</t>
        </is>
      </c>
      <c r="E257" t="inlineStr">
        <is>
          <t>Wireless Mouse</t>
        </is>
      </c>
      <c r="F257" t="inlineStr">
        <is>
          <t>Accessories</t>
        </is>
      </c>
      <c r="G257" t="n">
        <v>1</v>
      </c>
      <c r="H257" s="3" t="n">
        <v>23.75</v>
      </c>
      <c r="I257" s="4" t="n">
        <v>0.05</v>
      </c>
      <c r="J257" s="3" t="n">
        <v>14</v>
      </c>
      <c r="K257" s="3">
        <f>G257*H257</f>
        <v/>
      </c>
      <c r="L257" s="3">
        <f>G257*J257</f>
        <v/>
      </c>
      <c r="M257" s="3">
        <f>K257-L257</f>
        <v/>
      </c>
      <c r="N257" s="5">
        <f>IFERROR(M257/K257,0)</f>
        <v/>
      </c>
    </row>
    <row r="258">
      <c r="A258" t="inlineStr">
        <is>
          <t>ORD-0257</t>
        </is>
      </c>
      <c r="B258" s="2" t="n">
        <v>45736</v>
      </c>
      <c r="C258" t="inlineStr">
        <is>
          <t>South</t>
        </is>
      </c>
      <c r="D258" t="inlineStr">
        <is>
          <t>Corporate</t>
        </is>
      </c>
      <c r="E258" t="inlineStr">
        <is>
          <t>Notebook Set</t>
        </is>
      </c>
      <c r="F258" t="inlineStr">
        <is>
          <t>Stationery</t>
        </is>
      </c>
      <c r="G258" t="n">
        <v>3</v>
      </c>
      <c r="H258" s="3" t="n">
        <v>12</v>
      </c>
      <c r="I258" s="4" t="n">
        <v>0</v>
      </c>
      <c r="J258" s="3" t="n">
        <v>5</v>
      </c>
      <c r="K258" s="3">
        <f>G258*H258</f>
        <v/>
      </c>
      <c r="L258" s="3">
        <f>G258*J258</f>
        <v/>
      </c>
      <c r="M258" s="3">
        <f>K258-L258</f>
        <v/>
      </c>
      <c r="N258" s="5">
        <f>IFERROR(M258/K258,0)</f>
        <v/>
      </c>
    </row>
    <row r="259">
      <c r="A259" t="inlineStr">
        <is>
          <t>ORD-0258</t>
        </is>
      </c>
      <c r="B259" s="2" t="n">
        <v>45680</v>
      </c>
      <c r="C259" t="inlineStr">
        <is>
          <t>South</t>
        </is>
      </c>
      <c r="D259" t="inlineStr">
        <is>
          <t>Retail</t>
        </is>
      </c>
      <c r="E259" t="inlineStr">
        <is>
          <t>Desk Lamp</t>
        </is>
      </c>
      <c r="F259" t="inlineStr">
        <is>
          <t>Office</t>
        </is>
      </c>
      <c r="G259" t="n">
        <v>7</v>
      </c>
      <c r="H259" s="3" t="n">
        <v>39.9</v>
      </c>
      <c r="I259" s="4" t="n">
        <v>0.05</v>
      </c>
      <c r="J259" s="3" t="n">
        <v>24</v>
      </c>
      <c r="K259" s="3">
        <f>G259*H259</f>
        <v/>
      </c>
      <c r="L259" s="3">
        <f>G259*J259</f>
        <v/>
      </c>
      <c r="M259" s="3">
        <f>K259-L259</f>
        <v/>
      </c>
      <c r="N259" s="5">
        <f>IFERROR(M259/K259,0)</f>
        <v/>
      </c>
    </row>
    <row r="260">
      <c r="A260" t="inlineStr">
        <is>
          <t>ORD-0259</t>
        </is>
      </c>
      <c r="B260" s="2" t="n">
        <v>45887</v>
      </c>
      <c r="C260" t="inlineStr">
        <is>
          <t>South</t>
        </is>
      </c>
      <c r="D260" t="inlineStr">
        <is>
          <t>Retail</t>
        </is>
      </c>
      <c r="E260" t="inlineStr">
        <is>
          <t>USB-C Hub</t>
        </is>
      </c>
      <c r="F260" t="inlineStr">
        <is>
          <t>Electronics</t>
        </is>
      </c>
      <c r="G260" t="n">
        <v>4</v>
      </c>
      <c r="H260" s="3" t="n">
        <v>41.65</v>
      </c>
      <c r="I260" s="4" t="n">
        <v>0.15</v>
      </c>
      <c r="J260" s="3" t="n">
        <v>28</v>
      </c>
      <c r="K260" s="3">
        <f>G260*H260</f>
        <v/>
      </c>
      <c r="L260" s="3">
        <f>G260*J260</f>
        <v/>
      </c>
      <c r="M260" s="3">
        <f>K260-L260</f>
        <v/>
      </c>
      <c r="N260" s="5">
        <f>IFERROR(M260/K260,0)</f>
        <v/>
      </c>
    </row>
    <row r="261">
      <c r="A261" t="inlineStr">
        <is>
          <t>ORD-0260</t>
        </is>
      </c>
      <c r="B261" s="2" t="n">
        <v>45757</v>
      </c>
      <c r="C261" t="inlineStr">
        <is>
          <t>West</t>
        </is>
      </c>
      <c r="D261" t="inlineStr">
        <is>
          <t>Retail</t>
        </is>
      </c>
      <c r="E261" t="inlineStr">
        <is>
          <t>Desk Lamp</t>
        </is>
      </c>
      <c r="F261" t="inlineStr">
        <is>
          <t>Office</t>
        </is>
      </c>
      <c r="G261" t="n">
        <v>6</v>
      </c>
      <c r="H261" s="3" t="n">
        <v>35.7</v>
      </c>
      <c r="I261" s="4" t="n">
        <v>0.15</v>
      </c>
      <c r="J261" s="3" t="n">
        <v>24</v>
      </c>
      <c r="K261" s="3">
        <f>G261*H261</f>
        <v/>
      </c>
      <c r="L261" s="3">
        <f>G261*J261</f>
        <v/>
      </c>
      <c r="M261" s="3">
        <f>K261-L261</f>
        <v/>
      </c>
      <c r="N261" s="5">
        <f>IFERROR(M261/K261,0)</f>
        <v/>
      </c>
    </row>
    <row r="262">
      <c r="A262" t="inlineStr">
        <is>
          <t>ORD-0261</t>
        </is>
      </c>
      <c r="B262" s="2" t="n">
        <v>45853</v>
      </c>
      <c r="C262" t="inlineStr">
        <is>
          <t>South</t>
        </is>
      </c>
      <c r="D262" t="inlineStr">
        <is>
          <t>Corporate</t>
        </is>
      </c>
      <c r="E262" t="inlineStr">
        <is>
          <t>USB-C Hub</t>
        </is>
      </c>
      <c r="F262" t="inlineStr">
        <is>
          <t>Electronics</t>
        </is>
      </c>
      <c r="G262" t="n">
        <v>7</v>
      </c>
      <c r="H262" s="3" t="n">
        <v>49</v>
      </c>
      <c r="I262" s="4" t="n">
        <v>0</v>
      </c>
      <c r="J262" s="3" t="n">
        <v>28</v>
      </c>
      <c r="K262" s="3">
        <f>G262*H262</f>
        <v/>
      </c>
      <c r="L262" s="3">
        <f>G262*J262</f>
        <v/>
      </c>
      <c r="M262" s="3">
        <f>K262-L262</f>
        <v/>
      </c>
      <c r="N262" s="5">
        <f>IFERROR(M262/K262,0)</f>
        <v/>
      </c>
    </row>
    <row r="263">
      <c r="A263" t="inlineStr">
        <is>
          <t>ORD-0262</t>
        </is>
      </c>
      <c r="B263" s="2" t="n">
        <v>45786</v>
      </c>
      <c r="C263" t="inlineStr">
        <is>
          <t>East</t>
        </is>
      </c>
      <c r="D263" t="inlineStr">
        <is>
          <t>Corporate</t>
        </is>
      </c>
      <c r="E263" t="inlineStr">
        <is>
          <t>Keyboard</t>
        </is>
      </c>
      <c r="F263" t="inlineStr">
        <is>
          <t>Accessories</t>
        </is>
      </c>
      <c r="G263" t="n">
        <v>1</v>
      </c>
      <c r="H263" s="3" t="n">
        <v>35.1</v>
      </c>
      <c r="I263" s="4" t="n">
        <v>0.1</v>
      </c>
      <c r="J263" s="3" t="n">
        <v>22</v>
      </c>
      <c r="K263" s="3">
        <f>G263*H263</f>
        <v/>
      </c>
      <c r="L263" s="3">
        <f>G263*J263</f>
        <v/>
      </c>
      <c r="M263" s="3">
        <f>K263-L263</f>
        <v/>
      </c>
      <c r="N263" s="5">
        <f>IFERROR(M263/K263,0)</f>
        <v/>
      </c>
    </row>
    <row r="264">
      <c r="A264" t="inlineStr">
        <is>
          <t>ORD-0263</t>
        </is>
      </c>
      <c r="B264" s="2" t="n">
        <v>46022</v>
      </c>
      <c r="C264" t="inlineStr">
        <is>
          <t>North</t>
        </is>
      </c>
      <c r="D264" t="inlineStr">
        <is>
          <t>Online</t>
        </is>
      </c>
      <c r="E264" t="inlineStr">
        <is>
          <t>Wireless Mouse</t>
        </is>
      </c>
      <c r="F264" t="inlineStr">
        <is>
          <t>Accessories</t>
        </is>
      </c>
      <c r="G264" t="n">
        <v>2</v>
      </c>
      <c r="H264" s="3" t="n">
        <v>23.75</v>
      </c>
      <c r="I264" s="4" t="n">
        <v>0.05</v>
      </c>
      <c r="J264" s="3" t="n">
        <v>14</v>
      </c>
      <c r="K264" s="3">
        <f>G264*H264</f>
        <v/>
      </c>
      <c r="L264" s="3">
        <f>G264*J264</f>
        <v/>
      </c>
      <c r="M264" s="3">
        <f>K264-L264</f>
        <v/>
      </c>
      <c r="N264" s="5">
        <f>IFERROR(M264/K264,0)</f>
        <v/>
      </c>
    </row>
    <row r="265">
      <c r="A265" t="inlineStr">
        <is>
          <t>ORD-0264</t>
        </is>
      </c>
      <c r="B265" s="2" t="n">
        <v>45888</v>
      </c>
      <c r="C265" t="inlineStr">
        <is>
          <t>North</t>
        </is>
      </c>
      <c r="D265" t="inlineStr">
        <is>
          <t>Online</t>
        </is>
      </c>
      <c r="E265" t="inlineStr">
        <is>
          <t>USB-C Hub</t>
        </is>
      </c>
      <c r="F265" t="inlineStr">
        <is>
          <t>Electronics</t>
        </is>
      </c>
      <c r="G265" t="n">
        <v>3</v>
      </c>
      <c r="H265" s="3" t="n">
        <v>44.1</v>
      </c>
      <c r="I265" s="4" t="n">
        <v>0.1</v>
      </c>
      <c r="J265" s="3" t="n">
        <v>28</v>
      </c>
      <c r="K265" s="3">
        <f>G265*H265</f>
        <v/>
      </c>
      <c r="L265" s="3">
        <f>G265*J265</f>
        <v/>
      </c>
      <c r="M265" s="3">
        <f>K265-L265</f>
        <v/>
      </c>
      <c r="N265" s="5">
        <f>IFERROR(M265/K265,0)</f>
        <v/>
      </c>
    </row>
    <row r="266">
      <c r="A266" t="inlineStr">
        <is>
          <t>ORD-0265</t>
        </is>
      </c>
      <c r="B266" s="2" t="n">
        <v>45836</v>
      </c>
      <c r="C266" t="inlineStr">
        <is>
          <t>North</t>
        </is>
      </c>
      <c r="D266" t="inlineStr">
        <is>
          <t>Retail</t>
        </is>
      </c>
      <c r="E266" t="inlineStr">
        <is>
          <t>Desk Lamp</t>
        </is>
      </c>
      <c r="F266" t="inlineStr">
        <is>
          <t>Office</t>
        </is>
      </c>
      <c r="G266" t="n">
        <v>1</v>
      </c>
      <c r="H266" s="3" t="n">
        <v>37.8</v>
      </c>
      <c r="I266" s="4" t="n">
        <v>0.1</v>
      </c>
      <c r="J266" s="3" t="n">
        <v>24</v>
      </c>
      <c r="K266" s="3">
        <f>G266*H266</f>
        <v/>
      </c>
      <c r="L266" s="3">
        <f>G266*J266</f>
        <v/>
      </c>
      <c r="M266" s="3">
        <f>K266-L266</f>
        <v/>
      </c>
      <c r="N266" s="5">
        <f>IFERROR(M266/K266,0)</f>
        <v/>
      </c>
    </row>
    <row r="267">
      <c r="A267" t="inlineStr">
        <is>
          <t>ORD-0266</t>
        </is>
      </c>
      <c r="B267" s="2" t="n">
        <v>45778</v>
      </c>
      <c r="C267" t="inlineStr">
        <is>
          <t>East</t>
        </is>
      </c>
      <c r="D267" t="inlineStr">
        <is>
          <t>Online</t>
        </is>
      </c>
      <c r="E267" t="inlineStr">
        <is>
          <t>Headphones</t>
        </is>
      </c>
      <c r="F267" t="inlineStr">
        <is>
          <t>Electronics</t>
        </is>
      </c>
      <c r="G267" t="n">
        <v>7</v>
      </c>
      <c r="H267" s="3" t="n">
        <v>79</v>
      </c>
      <c r="I267" s="4" t="n">
        <v>0</v>
      </c>
      <c r="J267" s="3" t="n">
        <v>48</v>
      </c>
      <c r="K267" s="3">
        <f>G267*H267</f>
        <v/>
      </c>
      <c r="L267" s="3">
        <f>G267*J267</f>
        <v/>
      </c>
      <c r="M267" s="3">
        <f>K267-L267</f>
        <v/>
      </c>
      <c r="N267" s="5">
        <f>IFERROR(M267/K267,0)</f>
        <v/>
      </c>
    </row>
    <row r="268">
      <c r="A268" t="inlineStr">
        <is>
          <t>ORD-0267</t>
        </is>
      </c>
      <c r="B268" s="2" t="n">
        <v>45821</v>
      </c>
      <c r="C268" t="inlineStr">
        <is>
          <t>South</t>
        </is>
      </c>
      <c r="D268" t="inlineStr">
        <is>
          <t>Online</t>
        </is>
      </c>
      <c r="E268" t="inlineStr">
        <is>
          <t>Laptop Stand</t>
        </is>
      </c>
      <c r="F268" t="inlineStr">
        <is>
          <t>Accessories</t>
        </is>
      </c>
      <c r="G268" t="n">
        <v>2</v>
      </c>
      <c r="H268" s="3" t="n">
        <v>52.25</v>
      </c>
      <c r="I268" s="4" t="n">
        <v>0.05</v>
      </c>
      <c r="J268" s="3" t="n">
        <v>32</v>
      </c>
      <c r="K268" s="3">
        <f>G268*H268</f>
        <v/>
      </c>
      <c r="L268" s="3">
        <f>G268*J268</f>
        <v/>
      </c>
      <c r="M268" s="3">
        <f>K268-L268</f>
        <v/>
      </c>
      <c r="N268" s="5">
        <f>IFERROR(M268/K268,0)</f>
        <v/>
      </c>
    </row>
    <row r="269">
      <c r="A269" t="inlineStr">
        <is>
          <t>ORD-0268</t>
        </is>
      </c>
      <c r="B269" s="2" t="n">
        <v>45804</v>
      </c>
      <c r="C269" t="inlineStr">
        <is>
          <t>West</t>
        </is>
      </c>
      <c r="D269" t="inlineStr">
        <is>
          <t>Retail</t>
        </is>
      </c>
      <c r="E269" t="inlineStr">
        <is>
          <t>Laptop Stand</t>
        </is>
      </c>
      <c r="F269" t="inlineStr">
        <is>
          <t>Accessories</t>
        </is>
      </c>
      <c r="G269" t="n">
        <v>8</v>
      </c>
      <c r="H269" s="3" t="n">
        <v>55</v>
      </c>
      <c r="I269" s="4" t="n">
        <v>0</v>
      </c>
      <c r="J269" s="3" t="n">
        <v>32</v>
      </c>
      <c r="K269" s="3">
        <f>G269*H269</f>
        <v/>
      </c>
      <c r="L269" s="3">
        <f>G269*J269</f>
        <v/>
      </c>
      <c r="M269" s="3">
        <f>K269-L269</f>
        <v/>
      </c>
      <c r="N269" s="5">
        <f>IFERROR(M269/K269,0)</f>
        <v/>
      </c>
    </row>
    <row r="270">
      <c r="A270" t="inlineStr">
        <is>
          <t>ORD-0269</t>
        </is>
      </c>
      <c r="B270" s="2" t="n">
        <v>45698</v>
      </c>
      <c r="C270" t="inlineStr">
        <is>
          <t>South</t>
        </is>
      </c>
      <c r="D270" t="inlineStr">
        <is>
          <t>Online</t>
        </is>
      </c>
      <c r="E270" t="inlineStr">
        <is>
          <t>Laptop Stand</t>
        </is>
      </c>
      <c r="F270" t="inlineStr">
        <is>
          <t>Accessories</t>
        </is>
      </c>
      <c r="G270" t="n">
        <v>1</v>
      </c>
      <c r="H270" s="3" t="n">
        <v>52.25</v>
      </c>
      <c r="I270" s="4" t="n">
        <v>0.05</v>
      </c>
      <c r="J270" s="3" t="n">
        <v>32</v>
      </c>
      <c r="K270" s="3">
        <f>G270*H270</f>
        <v/>
      </c>
      <c r="L270" s="3">
        <f>G270*J270</f>
        <v/>
      </c>
      <c r="M270" s="3">
        <f>K270-L270</f>
        <v/>
      </c>
      <c r="N270" s="5">
        <f>IFERROR(M270/K270,0)</f>
        <v/>
      </c>
    </row>
    <row r="271">
      <c r="A271" t="inlineStr">
        <is>
          <t>ORD-0270</t>
        </is>
      </c>
      <c r="B271" s="2" t="n">
        <v>45714</v>
      </c>
      <c r="C271" t="inlineStr">
        <is>
          <t>East</t>
        </is>
      </c>
      <c r="D271" t="inlineStr">
        <is>
          <t>Online</t>
        </is>
      </c>
      <c r="E271" t="inlineStr">
        <is>
          <t>Notebook Set</t>
        </is>
      </c>
      <c r="F271" t="inlineStr">
        <is>
          <t>Stationery</t>
        </is>
      </c>
      <c r="G271" t="n">
        <v>5</v>
      </c>
      <c r="H271" s="3" t="n">
        <v>12</v>
      </c>
      <c r="I271" s="4" t="n">
        <v>0</v>
      </c>
      <c r="J271" s="3" t="n">
        <v>5</v>
      </c>
      <c r="K271" s="3">
        <f>G271*H271</f>
        <v/>
      </c>
      <c r="L271" s="3">
        <f>G271*J271</f>
        <v/>
      </c>
      <c r="M271" s="3">
        <f>K271-L271</f>
        <v/>
      </c>
      <c r="N271" s="5">
        <f>IFERROR(M271/K271,0)</f>
        <v/>
      </c>
    </row>
    <row r="272">
      <c r="A272" t="inlineStr">
        <is>
          <t>ORD-0271</t>
        </is>
      </c>
      <c r="B272" s="2" t="n">
        <v>45780</v>
      </c>
      <c r="C272" t="inlineStr">
        <is>
          <t>West</t>
        </is>
      </c>
      <c r="D272" t="inlineStr">
        <is>
          <t>Online</t>
        </is>
      </c>
      <c r="E272" t="inlineStr">
        <is>
          <t>Laptop Stand</t>
        </is>
      </c>
      <c r="F272" t="inlineStr">
        <is>
          <t>Accessories</t>
        </is>
      </c>
      <c r="G272" t="n">
        <v>7</v>
      </c>
      <c r="H272" s="3" t="n">
        <v>46.75</v>
      </c>
      <c r="I272" s="4" t="n">
        <v>0.15</v>
      </c>
      <c r="J272" s="3" t="n">
        <v>32</v>
      </c>
      <c r="K272" s="3">
        <f>G272*H272</f>
        <v/>
      </c>
      <c r="L272" s="3">
        <f>G272*J272</f>
        <v/>
      </c>
      <c r="M272" s="3">
        <f>K272-L272</f>
        <v/>
      </c>
      <c r="N272" s="5">
        <f>IFERROR(M272/K272,0)</f>
        <v/>
      </c>
    </row>
    <row r="273">
      <c r="A273" t="inlineStr">
        <is>
          <t>ORD-0272</t>
        </is>
      </c>
      <c r="B273" s="2" t="n">
        <v>45913</v>
      </c>
      <c r="C273" t="inlineStr">
        <is>
          <t>South</t>
        </is>
      </c>
      <c r="D273" t="inlineStr">
        <is>
          <t>Corporate</t>
        </is>
      </c>
      <c r="E273" t="inlineStr">
        <is>
          <t>Wireless Mouse</t>
        </is>
      </c>
      <c r="F273" t="inlineStr">
        <is>
          <t>Accessories</t>
        </is>
      </c>
      <c r="G273" t="n">
        <v>1</v>
      </c>
      <c r="H273" s="3" t="n">
        <v>21.25</v>
      </c>
      <c r="I273" s="4" t="n">
        <v>0.15</v>
      </c>
      <c r="J273" s="3" t="n">
        <v>14</v>
      </c>
      <c r="K273" s="3">
        <f>G273*H273</f>
        <v/>
      </c>
      <c r="L273" s="3">
        <f>G273*J273</f>
        <v/>
      </c>
      <c r="M273" s="3">
        <f>K273-L273</f>
        <v/>
      </c>
      <c r="N273" s="5">
        <f>IFERROR(M273/K273,0)</f>
        <v/>
      </c>
    </row>
    <row r="274">
      <c r="A274" t="inlineStr">
        <is>
          <t>ORD-0273</t>
        </is>
      </c>
      <c r="B274" s="2" t="n">
        <v>45807</v>
      </c>
      <c r="C274" t="inlineStr">
        <is>
          <t>East</t>
        </is>
      </c>
      <c r="D274" t="inlineStr">
        <is>
          <t>Online</t>
        </is>
      </c>
      <c r="E274" t="inlineStr">
        <is>
          <t>Keyboard</t>
        </is>
      </c>
      <c r="F274" t="inlineStr">
        <is>
          <t>Accessories</t>
        </is>
      </c>
      <c r="G274" t="n">
        <v>7</v>
      </c>
      <c r="H274" s="3" t="n">
        <v>39</v>
      </c>
      <c r="I274" s="4" t="n">
        <v>0</v>
      </c>
      <c r="J274" s="3" t="n">
        <v>22</v>
      </c>
      <c r="K274" s="3">
        <f>G274*H274</f>
        <v/>
      </c>
      <c r="L274" s="3">
        <f>G274*J274</f>
        <v/>
      </c>
      <c r="M274" s="3">
        <f>K274-L274</f>
        <v/>
      </c>
      <c r="N274" s="5">
        <f>IFERROR(M274/K274,0)</f>
        <v/>
      </c>
    </row>
    <row r="275">
      <c r="A275" t="inlineStr">
        <is>
          <t>ORD-0274</t>
        </is>
      </c>
      <c r="B275" s="2" t="n">
        <v>45753</v>
      </c>
      <c r="C275" t="inlineStr">
        <is>
          <t>East</t>
        </is>
      </c>
      <c r="D275" t="inlineStr">
        <is>
          <t>Online</t>
        </is>
      </c>
      <c r="E275" t="inlineStr">
        <is>
          <t>Notebook Set</t>
        </is>
      </c>
      <c r="F275" t="inlineStr">
        <is>
          <t>Stationery</t>
        </is>
      </c>
      <c r="G275" t="n">
        <v>2</v>
      </c>
      <c r="H275" s="3" t="n">
        <v>10.2</v>
      </c>
      <c r="I275" s="4" t="n">
        <v>0.15</v>
      </c>
      <c r="J275" s="3" t="n">
        <v>5</v>
      </c>
      <c r="K275" s="3">
        <f>G275*H275</f>
        <v/>
      </c>
      <c r="L275" s="3">
        <f>G275*J275</f>
        <v/>
      </c>
      <c r="M275" s="3">
        <f>K275-L275</f>
        <v/>
      </c>
      <c r="N275" s="5">
        <f>IFERROR(M275/K275,0)</f>
        <v/>
      </c>
    </row>
    <row r="276">
      <c r="A276" t="inlineStr">
        <is>
          <t>ORD-0275</t>
        </is>
      </c>
      <c r="B276" s="2" t="n">
        <v>45857</v>
      </c>
      <c r="C276" t="inlineStr">
        <is>
          <t>West</t>
        </is>
      </c>
      <c r="D276" t="inlineStr">
        <is>
          <t>Retail</t>
        </is>
      </c>
      <c r="E276" t="inlineStr">
        <is>
          <t>Laptop Stand</t>
        </is>
      </c>
      <c r="F276" t="inlineStr">
        <is>
          <t>Accessories</t>
        </is>
      </c>
      <c r="G276" t="n">
        <v>8</v>
      </c>
      <c r="H276" s="3" t="n">
        <v>55</v>
      </c>
      <c r="I276" s="4" t="n">
        <v>0</v>
      </c>
      <c r="J276" s="3" t="n">
        <v>32</v>
      </c>
      <c r="K276" s="3">
        <f>G276*H276</f>
        <v/>
      </c>
      <c r="L276" s="3">
        <f>G276*J276</f>
        <v/>
      </c>
      <c r="M276" s="3">
        <f>K276-L276</f>
        <v/>
      </c>
      <c r="N276" s="5">
        <f>IFERROR(M276/K276,0)</f>
        <v/>
      </c>
    </row>
    <row r="277">
      <c r="A277" t="inlineStr">
        <is>
          <t>ORD-0276</t>
        </is>
      </c>
      <c r="B277" s="2" t="n">
        <v>45666</v>
      </c>
      <c r="C277" t="inlineStr">
        <is>
          <t>East</t>
        </is>
      </c>
      <c r="D277" t="inlineStr">
        <is>
          <t>Online</t>
        </is>
      </c>
      <c r="E277" t="inlineStr">
        <is>
          <t>USB-C Hub</t>
        </is>
      </c>
      <c r="F277" t="inlineStr">
        <is>
          <t>Electronics</t>
        </is>
      </c>
      <c r="G277" t="n">
        <v>6</v>
      </c>
      <c r="H277" s="3" t="n">
        <v>49</v>
      </c>
      <c r="I277" s="4" t="n">
        <v>0</v>
      </c>
      <c r="J277" s="3" t="n">
        <v>28</v>
      </c>
      <c r="K277" s="3">
        <f>G277*H277</f>
        <v/>
      </c>
      <c r="L277" s="3">
        <f>G277*J277</f>
        <v/>
      </c>
      <c r="M277" s="3">
        <f>K277-L277</f>
        <v/>
      </c>
      <c r="N277" s="5">
        <f>IFERROR(M277/K277,0)</f>
        <v/>
      </c>
    </row>
    <row r="278">
      <c r="A278" t="inlineStr">
        <is>
          <t>ORD-0277</t>
        </is>
      </c>
      <c r="B278" s="2" t="n">
        <v>45955</v>
      </c>
      <c r="C278" t="inlineStr">
        <is>
          <t>North</t>
        </is>
      </c>
      <c r="D278" t="inlineStr">
        <is>
          <t>Retail</t>
        </is>
      </c>
      <c r="E278" t="inlineStr">
        <is>
          <t>Wireless Mouse</t>
        </is>
      </c>
      <c r="F278" t="inlineStr">
        <is>
          <t>Accessories</t>
        </is>
      </c>
      <c r="G278" t="n">
        <v>6</v>
      </c>
      <c r="H278" s="3" t="n">
        <v>25</v>
      </c>
      <c r="I278" s="4" t="n">
        <v>0</v>
      </c>
      <c r="J278" s="3" t="n">
        <v>14</v>
      </c>
      <c r="K278" s="3">
        <f>G278*H278</f>
        <v/>
      </c>
      <c r="L278" s="3">
        <f>G278*J278</f>
        <v/>
      </c>
      <c r="M278" s="3">
        <f>K278-L278</f>
        <v/>
      </c>
      <c r="N278" s="5">
        <f>IFERROR(M278/K278,0)</f>
        <v/>
      </c>
    </row>
    <row r="279">
      <c r="A279" t="inlineStr">
        <is>
          <t>ORD-0278</t>
        </is>
      </c>
      <c r="B279" s="2" t="n">
        <v>45987</v>
      </c>
      <c r="C279" t="inlineStr">
        <is>
          <t>West</t>
        </is>
      </c>
      <c r="D279" t="inlineStr">
        <is>
          <t>Corporate</t>
        </is>
      </c>
      <c r="E279" t="inlineStr">
        <is>
          <t>Headphones</t>
        </is>
      </c>
      <c r="F279" t="inlineStr">
        <is>
          <t>Electronics</t>
        </is>
      </c>
      <c r="G279" t="n">
        <v>3</v>
      </c>
      <c r="H279" s="3" t="n">
        <v>71.09999999999999</v>
      </c>
      <c r="I279" s="4" t="n">
        <v>0.1</v>
      </c>
      <c r="J279" s="3" t="n">
        <v>48</v>
      </c>
      <c r="K279" s="3">
        <f>G279*H279</f>
        <v/>
      </c>
      <c r="L279" s="3">
        <f>G279*J279</f>
        <v/>
      </c>
      <c r="M279" s="3">
        <f>K279-L279</f>
        <v/>
      </c>
      <c r="N279" s="5">
        <f>IFERROR(M279/K279,0)</f>
        <v/>
      </c>
    </row>
    <row r="280">
      <c r="A280" t="inlineStr">
        <is>
          <t>ORD-0279</t>
        </is>
      </c>
      <c r="B280" s="2" t="n">
        <v>45727</v>
      </c>
      <c r="C280" t="inlineStr">
        <is>
          <t>North</t>
        </is>
      </c>
      <c r="D280" t="inlineStr">
        <is>
          <t>Retail</t>
        </is>
      </c>
      <c r="E280" t="inlineStr">
        <is>
          <t>Keyboard</t>
        </is>
      </c>
      <c r="F280" t="inlineStr">
        <is>
          <t>Accessories</t>
        </is>
      </c>
      <c r="G280" t="n">
        <v>2</v>
      </c>
      <c r="H280" s="3" t="n">
        <v>35.1</v>
      </c>
      <c r="I280" s="4" t="n">
        <v>0.1</v>
      </c>
      <c r="J280" s="3" t="n">
        <v>22</v>
      </c>
      <c r="K280" s="3">
        <f>G280*H280</f>
        <v/>
      </c>
      <c r="L280" s="3">
        <f>G280*J280</f>
        <v/>
      </c>
      <c r="M280" s="3">
        <f>K280-L280</f>
        <v/>
      </c>
      <c r="N280" s="5">
        <f>IFERROR(M280/K280,0)</f>
        <v/>
      </c>
    </row>
    <row r="281">
      <c r="A281" t="inlineStr">
        <is>
          <t>ORD-0280</t>
        </is>
      </c>
      <c r="B281" s="2" t="n">
        <v>45680</v>
      </c>
      <c r="C281" t="inlineStr">
        <is>
          <t>East</t>
        </is>
      </c>
      <c r="D281" t="inlineStr">
        <is>
          <t>Retail</t>
        </is>
      </c>
      <c r="E281" t="inlineStr">
        <is>
          <t>Monitor</t>
        </is>
      </c>
      <c r="F281" t="inlineStr">
        <is>
          <t>Electronics</t>
        </is>
      </c>
      <c r="G281" t="n">
        <v>4</v>
      </c>
      <c r="H281" s="3" t="n">
        <v>220</v>
      </c>
      <c r="I281" s="4" t="n">
        <v>0</v>
      </c>
      <c r="J281" s="3" t="n">
        <v>145</v>
      </c>
      <c r="K281" s="3">
        <f>G281*H281</f>
        <v/>
      </c>
      <c r="L281" s="3">
        <f>G281*J281</f>
        <v/>
      </c>
      <c r="M281" s="3">
        <f>K281-L281</f>
        <v/>
      </c>
      <c r="N281" s="5">
        <f>IFERROR(M281/K281,0)</f>
        <v/>
      </c>
    </row>
    <row r="282">
      <c r="A282" t="inlineStr">
        <is>
          <t>ORD-0281</t>
        </is>
      </c>
      <c r="B282" s="2" t="n">
        <v>45936</v>
      </c>
      <c r="C282" t="inlineStr">
        <is>
          <t>North</t>
        </is>
      </c>
      <c r="D282" t="inlineStr">
        <is>
          <t>Corporate</t>
        </is>
      </c>
      <c r="E282" t="inlineStr">
        <is>
          <t>Notebook Set</t>
        </is>
      </c>
      <c r="F282" t="inlineStr">
        <is>
          <t>Stationery</t>
        </is>
      </c>
      <c r="G282" t="n">
        <v>8</v>
      </c>
      <c r="H282" s="3" t="n">
        <v>11.4</v>
      </c>
      <c r="I282" s="4" t="n">
        <v>0.05</v>
      </c>
      <c r="J282" s="3" t="n">
        <v>5</v>
      </c>
      <c r="K282" s="3">
        <f>G282*H282</f>
        <v/>
      </c>
      <c r="L282" s="3">
        <f>G282*J282</f>
        <v/>
      </c>
      <c r="M282" s="3">
        <f>K282-L282</f>
        <v/>
      </c>
      <c r="N282" s="5">
        <f>IFERROR(M282/K282,0)</f>
        <v/>
      </c>
    </row>
    <row r="283">
      <c r="A283" t="inlineStr">
        <is>
          <t>ORD-0282</t>
        </is>
      </c>
      <c r="B283" s="2" t="n">
        <v>45804</v>
      </c>
      <c r="C283" t="inlineStr">
        <is>
          <t>East</t>
        </is>
      </c>
      <c r="D283" t="inlineStr">
        <is>
          <t>Retail</t>
        </is>
      </c>
      <c r="E283" t="inlineStr">
        <is>
          <t>Monitor</t>
        </is>
      </c>
      <c r="F283" t="inlineStr">
        <is>
          <t>Electronics</t>
        </is>
      </c>
      <c r="G283" t="n">
        <v>6</v>
      </c>
      <c r="H283" s="3" t="n">
        <v>220</v>
      </c>
      <c r="I283" s="4" t="n">
        <v>0</v>
      </c>
      <c r="J283" s="3" t="n">
        <v>145</v>
      </c>
      <c r="K283" s="3">
        <f>G283*H283</f>
        <v/>
      </c>
      <c r="L283" s="3">
        <f>G283*J283</f>
        <v/>
      </c>
      <c r="M283" s="3">
        <f>K283-L283</f>
        <v/>
      </c>
      <c r="N283" s="5">
        <f>IFERROR(M283/K283,0)</f>
        <v/>
      </c>
    </row>
    <row r="284">
      <c r="A284" t="inlineStr">
        <is>
          <t>ORD-0283</t>
        </is>
      </c>
      <c r="B284" s="2" t="n">
        <v>45846</v>
      </c>
      <c r="C284" t="inlineStr">
        <is>
          <t>West</t>
        </is>
      </c>
      <c r="D284" t="inlineStr">
        <is>
          <t>Retail</t>
        </is>
      </c>
      <c r="E284" t="inlineStr">
        <is>
          <t>Wireless Mouse</t>
        </is>
      </c>
      <c r="F284" t="inlineStr">
        <is>
          <t>Accessories</t>
        </is>
      </c>
      <c r="G284" t="n">
        <v>7</v>
      </c>
      <c r="H284" s="3" t="n">
        <v>22.5</v>
      </c>
      <c r="I284" s="4" t="n">
        <v>0.1</v>
      </c>
      <c r="J284" s="3" t="n">
        <v>14</v>
      </c>
      <c r="K284" s="3">
        <f>G284*H284</f>
        <v/>
      </c>
      <c r="L284" s="3">
        <f>G284*J284</f>
        <v/>
      </c>
      <c r="M284" s="3">
        <f>K284-L284</f>
        <v/>
      </c>
      <c r="N284" s="5">
        <f>IFERROR(M284/K284,0)</f>
        <v/>
      </c>
    </row>
    <row r="285">
      <c r="A285" t="inlineStr">
        <is>
          <t>ORD-0284</t>
        </is>
      </c>
      <c r="B285" s="2" t="n">
        <v>45753</v>
      </c>
      <c r="C285" t="inlineStr">
        <is>
          <t>East</t>
        </is>
      </c>
      <c r="D285" t="inlineStr">
        <is>
          <t>Corporate</t>
        </is>
      </c>
      <c r="E285" t="inlineStr">
        <is>
          <t>Headphones</t>
        </is>
      </c>
      <c r="F285" t="inlineStr">
        <is>
          <t>Electronics</t>
        </is>
      </c>
      <c r="G285" t="n">
        <v>8</v>
      </c>
      <c r="H285" s="3" t="n">
        <v>71.09999999999999</v>
      </c>
      <c r="I285" s="4" t="n">
        <v>0.1</v>
      </c>
      <c r="J285" s="3" t="n">
        <v>48</v>
      </c>
      <c r="K285" s="3">
        <f>G285*H285</f>
        <v/>
      </c>
      <c r="L285" s="3">
        <f>G285*J285</f>
        <v/>
      </c>
      <c r="M285" s="3">
        <f>K285-L285</f>
        <v/>
      </c>
      <c r="N285" s="5">
        <f>IFERROR(M285/K285,0)</f>
        <v/>
      </c>
    </row>
    <row r="286">
      <c r="A286" t="inlineStr">
        <is>
          <t>ORD-0285</t>
        </is>
      </c>
      <c r="B286" s="2" t="n">
        <v>45700</v>
      </c>
      <c r="C286" t="inlineStr">
        <is>
          <t>West</t>
        </is>
      </c>
      <c r="D286" t="inlineStr">
        <is>
          <t>Corporate</t>
        </is>
      </c>
      <c r="E286" t="inlineStr">
        <is>
          <t>USB-C Hub</t>
        </is>
      </c>
      <c r="F286" t="inlineStr">
        <is>
          <t>Electronics</t>
        </is>
      </c>
      <c r="G286" t="n">
        <v>7</v>
      </c>
      <c r="H286" s="3" t="n">
        <v>49</v>
      </c>
      <c r="I286" s="4" t="n">
        <v>0</v>
      </c>
      <c r="J286" s="3" t="n">
        <v>28</v>
      </c>
      <c r="K286" s="3">
        <f>G286*H286</f>
        <v/>
      </c>
      <c r="L286" s="3">
        <f>G286*J286</f>
        <v/>
      </c>
      <c r="M286" s="3">
        <f>K286-L286</f>
        <v/>
      </c>
      <c r="N286" s="5">
        <f>IFERROR(M286/K286,0)</f>
        <v/>
      </c>
    </row>
    <row r="287">
      <c r="A287" t="inlineStr">
        <is>
          <t>ORD-0286</t>
        </is>
      </c>
      <c r="B287" s="2" t="n">
        <v>45937</v>
      </c>
      <c r="C287" t="inlineStr">
        <is>
          <t>North</t>
        </is>
      </c>
      <c r="D287" t="inlineStr">
        <is>
          <t>Online</t>
        </is>
      </c>
      <c r="E287" t="inlineStr">
        <is>
          <t>Keyboard</t>
        </is>
      </c>
      <c r="F287" t="inlineStr">
        <is>
          <t>Accessories</t>
        </is>
      </c>
      <c r="G287" t="n">
        <v>5</v>
      </c>
      <c r="H287" s="3" t="n">
        <v>37.05</v>
      </c>
      <c r="I287" s="4" t="n">
        <v>0.05</v>
      </c>
      <c r="J287" s="3" t="n">
        <v>22</v>
      </c>
      <c r="K287" s="3">
        <f>G287*H287</f>
        <v/>
      </c>
      <c r="L287" s="3">
        <f>G287*J287</f>
        <v/>
      </c>
      <c r="M287" s="3">
        <f>K287-L287</f>
        <v/>
      </c>
      <c r="N287" s="5">
        <f>IFERROR(M287/K287,0)</f>
        <v/>
      </c>
    </row>
    <row r="288">
      <c r="A288" t="inlineStr">
        <is>
          <t>ORD-0287</t>
        </is>
      </c>
      <c r="B288" s="2" t="n">
        <v>45996</v>
      </c>
      <c r="C288" t="inlineStr">
        <is>
          <t>West</t>
        </is>
      </c>
      <c r="D288" t="inlineStr">
        <is>
          <t>Corporate</t>
        </is>
      </c>
      <c r="E288" t="inlineStr">
        <is>
          <t>Headphones</t>
        </is>
      </c>
      <c r="F288" t="inlineStr">
        <is>
          <t>Electronics</t>
        </is>
      </c>
      <c r="G288" t="n">
        <v>5</v>
      </c>
      <c r="H288" s="3" t="n">
        <v>75.05</v>
      </c>
      <c r="I288" s="4" t="n">
        <v>0.05</v>
      </c>
      <c r="J288" s="3" t="n">
        <v>48</v>
      </c>
      <c r="K288" s="3">
        <f>G288*H288</f>
        <v/>
      </c>
      <c r="L288" s="3">
        <f>G288*J288</f>
        <v/>
      </c>
      <c r="M288" s="3">
        <f>K288-L288</f>
        <v/>
      </c>
      <c r="N288" s="5">
        <f>IFERROR(M288/K288,0)</f>
        <v/>
      </c>
    </row>
    <row r="289">
      <c r="A289" t="inlineStr">
        <is>
          <t>ORD-0288</t>
        </is>
      </c>
      <c r="B289" s="2" t="n">
        <v>45743</v>
      </c>
      <c r="C289" t="inlineStr">
        <is>
          <t>West</t>
        </is>
      </c>
      <c r="D289" t="inlineStr">
        <is>
          <t>Online</t>
        </is>
      </c>
      <c r="E289" t="inlineStr">
        <is>
          <t>Notebook Set</t>
        </is>
      </c>
      <c r="F289" t="inlineStr">
        <is>
          <t>Stationery</t>
        </is>
      </c>
      <c r="G289" t="n">
        <v>8</v>
      </c>
      <c r="H289" s="3" t="n">
        <v>11.4</v>
      </c>
      <c r="I289" s="4" t="n">
        <v>0.05</v>
      </c>
      <c r="J289" s="3" t="n">
        <v>5</v>
      </c>
      <c r="K289" s="3">
        <f>G289*H289</f>
        <v/>
      </c>
      <c r="L289" s="3">
        <f>G289*J289</f>
        <v/>
      </c>
      <c r="M289" s="3">
        <f>K289-L289</f>
        <v/>
      </c>
      <c r="N289" s="5">
        <f>IFERROR(M289/K289,0)</f>
        <v/>
      </c>
    </row>
    <row r="290">
      <c r="A290" t="inlineStr">
        <is>
          <t>ORD-0289</t>
        </is>
      </c>
      <c r="B290" s="2" t="n">
        <v>45972</v>
      </c>
      <c r="C290" t="inlineStr">
        <is>
          <t>North</t>
        </is>
      </c>
      <c r="D290" t="inlineStr">
        <is>
          <t>Online</t>
        </is>
      </c>
      <c r="E290" t="inlineStr">
        <is>
          <t>Headphones</t>
        </is>
      </c>
      <c r="F290" t="inlineStr">
        <is>
          <t>Electronics</t>
        </is>
      </c>
      <c r="G290" t="n">
        <v>7</v>
      </c>
      <c r="H290" s="3" t="n">
        <v>75.05</v>
      </c>
      <c r="I290" s="4" t="n">
        <v>0.05</v>
      </c>
      <c r="J290" s="3" t="n">
        <v>48</v>
      </c>
      <c r="K290" s="3">
        <f>G290*H290</f>
        <v/>
      </c>
      <c r="L290" s="3">
        <f>G290*J290</f>
        <v/>
      </c>
      <c r="M290" s="3">
        <f>K290-L290</f>
        <v/>
      </c>
      <c r="N290" s="5">
        <f>IFERROR(M290/K290,0)</f>
        <v/>
      </c>
    </row>
    <row r="291">
      <c r="A291" t="inlineStr">
        <is>
          <t>ORD-0290</t>
        </is>
      </c>
      <c r="B291" s="2" t="n">
        <v>45844</v>
      </c>
      <c r="C291" t="inlineStr">
        <is>
          <t>South</t>
        </is>
      </c>
      <c r="D291" t="inlineStr">
        <is>
          <t>Corporate</t>
        </is>
      </c>
      <c r="E291" t="inlineStr">
        <is>
          <t>Notebook Set</t>
        </is>
      </c>
      <c r="F291" t="inlineStr">
        <is>
          <t>Stationery</t>
        </is>
      </c>
      <c r="G291" t="n">
        <v>3</v>
      </c>
      <c r="H291" s="3" t="n">
        <v>12</v>
      </c>
      <c r="I291" s="4" t="n">
        <v>0</v>
      </c>
      <c r="J291" s="3" t="n">
        <v>5</v>
      </c>
      <c r="K291" s="3">
        <f>G291*H291</f>
        <v/>
      </c>
      <c r="L291" s="3">
        <f>G291*J291</f>
        <v/>
      </c>
      <c r="M291" s="3">
        <f>K291-L291</f>
        <v/>
      </c>
      <c r="N291" s="5">
        <f>IFERROR(M291/K291,0)</f>
        <v/>
      </c>
    </row>
    <row r="292">
      <c r="A292" t="inlineStr">
        <is>
          <t>ORD-0291</t>
        </is>
      </c>
      <c r="B292" s="2" t="n">
        <v>45675</v>
      </c>
      <c r="C292" t="inlineStr">
        <is>
          <t>South</t>
        </is>
      </c>
      <c r="D292" t="inlineStr">
        <is>
          <t>Corporate</t>
        </is>
      </c>
      <c r="E292" t="inlineStr">
        <is>
          <t>Desk Lamp</t>
        </is>
      </c>
      <c r="F292" t="inlineStr">
        <is>
          <t>Office</t>
        </is>
      </c>
      <c r="G292" t="n">
        <v>3</v>
      </c>
      <c r="H292" s="3" t="n">
        <v>42</v>
      </c>
      <c r="I292" s="4" t="n">
        <v>0</v>
      </c>
      <c r="J292" s="3" t="n">
        <v>24</v>
      </c>
      <c r="K292" s="3">
        <f>G292*H292</f>
        <v/>
      </c>
      <c r="L292" s="3">
        <f>G292*J292</f>
        <v/>
      </c>
      <c r="M292" s="3">
        <f>K292-L292</f>
        <v/>
      </c>
      <c r="N292" s="5">
        <f>IFERROR(M292/K292,0)</f>
        <v/>
      </c>
    </row>
    <row r="293">
      <c r="A293" t="inlineStr">
        <is>
          <t>ORD-0292</t>
        </is>
      </c>
      <c r="B293" s="2" t="n">
        <v>45843</v>
      </c>
      <c r="C293" t="inlineStr">
        <is>
          <t>North</t>
        </is>
      </c>
      <c r="D293" t="inlineStr">
        <is>
          <t>Corporate</t>
        </is>
      </c>
      <c r="E293" t="inlineStr">
        <is>
          <t>Headphones</t>
        </is>
      </c>
      <c r="F293" t="inlineStr">
        <is>
          <t>Electronics</t>
        </is>
      </c>
      <c r="G293" t="n">
        <v>7</v>
      </c>
      <c r="H293" s="3" t="n">
        <v>67.15000000000001</v>
      </c>
      <c r="I293" s="4" t="n">
        <v>0.15</v>
      </c>
      <c r="J293" s="3" t="n">
        <v>48</v>
      </c>
      <c r="K293" s="3">
        <f>G293*H293</f>
        <v/>
      </c>
      <c r="L293" s="3">
        <f>G293*J293</f>
        <v/>
      </c>
      <c r="M293" s="3">
        <f>K293-L293</f>
        <v/>
      </c>
      <c r="N293" s="5">
        <f>IFERROR(M293/K293,0)</f>
        <v/>
      </c>
    </row>
    <row r="294">
      <c r="A294" t="inlineStr">
        <is>
          <t>ORD-0293</t>
        </is>
      </c>
      <c r="B294" s="2" t="n">
        <v>46005</v>
      </c>
      <c r="C294" t="inlineStr">
        <is>
          <t>East</t>
        </is>
      </c>
      <c r="D294" t="inlineStr">
        <is>
          <t>Retail</t>
        </is>
      </c>
      <c r="E294" t="inlineStr">
        <is>
          <t>Keyboard</t>
        </is>
      </c>
      <c r="F294" t="inlineStr">
        <is>
          <t>Accessories</t>
        </is>
      </c>
      <c r="G294" t="n">
        <v>8</v>
      </c>
      <c r="H294" s="3" t="n">
        <v>37.05</v>
      </c>
      <c r="I294" s="4" t="n">
        <v>0.05</v>
      </c>
      <c r="J294" s="3" t="n">
        <v>22</v>
      </c>
      <c r="K294" s="3">
        <f>G294*H294</f>
        <v/>
      </c>
      <c r="L294" s="3">
        <f>G294*J294</f>
        <v/>
      </c>
      <c r="M294" s="3">
        <f>K294-L294</f>
        <v/>
      </c>
      <c r="N294" s="5">
        <f>IFERROR(M294/K294,0)</f>
        <v/>
      </c>
    </row>
    <row r="295">
      <c r="A295" t="inlineStr">
        <is>
          <t>ORD-0294</t>
        </is>
      </c>
      <c r="B295" s="2" t="n">
        <v>45951</v>
      </c>
      <c r="C295" t="inlineStr">
        <is>
          <t>East</t>
        </is>
      </c>
      <c r="D295" t="inlineStr">
        <is>
          <t>Retail</t>
        </is>
      </c>
      <c r="E295" t="inlineStr">
        <is>
          <t>Wireless Mouse</t>
        </is>
      </c>
      <c r="F295" t="inlineStr">
        <is>
          <t>Accessories</t>
        </is>
      </c>
      <c r="G295" t="n">
        <v>3</v>
      </c>
      <c r="H295" s="3" t="n">
        <v>21.25</v>
      </c>
      <c r="I295" s="4" t="n">
        <v>0.15</v>
      </c>
      <c r="J295" s="3" t="n">
        <v>14</v>
      </c>
      <c r="K295" s="3">
        <f>G295*H295</f>
        <v/>
      </c>
      <c r="L295" s="3">
        <f>G295*J295</f>
        <v/>
      </c>
      <c r="M295" s="3">
        <f>K295-L295</f>
        <v/>
      </c>
      <c r="N295" s="5">
        <f>IFERROR(M295/K295,0)</f>
        <v/>
      </c>
    </row>
    <row r="296">
      <c r="A296" t="inlineStr">
        <is>
          <t>ORD-0295</t>
        </is>
      </c>
      <c r="B296" s="2" t="n">
        <v>45990</v>
      </c>
      <c r="C296" t="inlineStr">
        <is>
          <t>North</t>
        </is>
      </c>
      <c r="D296" t="inlineStr">
        <is>
          <t>Online</t>
        </is>
      </c>
      <c r="E296" t="inlineStr">
        <is>
          <t>Headphones</t>
        </is>
      </c>
      <c r="F296" t="inlineStr">
        <is>
          <t>Electronics</t>
        </is>
      </c>
      <c r="G296" t="n">
        <v>5</v>
      </c>
      <c r="H296" s="3" t="n">
        <v>79</v>
      </c>
      <c r="I296" s="4" t="n">
        <v>0</v>
      </c>
      <c r="J296" s="3" t="n">
        <v>48</v>
      </c>
      <c r="K296" s="3">
        <f>G296*H296</f>
        <v/>
      </c>
      <c r="L296" s="3">
        <f>G296*J296</f>
        <v/>
      </c>
      <c r="M296" s="3">
        <f>K296-L296</f>
        <v/>
      </c>
      <c r="N296" s="5">
        <f>IFERROR(M296/K296,0)</f>
        <v/>
      </c>
    </row>
    <row r="297">
      <c r="A297" t="inlineStr">
        <is>
          <t>ORD-0296</t>
        </is>
      </c>
      <c r="B297" s="2" t="n">
        <v>45913</v>
      </c>
      <c r="C297" t="inlineStr">
        <is>
          <t>North</t>
        </is>
      </c>
      <c r="D297" t="inlineStr">
        <is>
          <t>Retail</t>
        </is>
      </c>
      <c r="E297" t="inlineStr">
        <is>
          <t>Keyboard</t>
        </is>
      </c>
      <c r="F297" t="inlineStr">
        <is>
          <t>Accessories</t>
        </is>
      </c>
      <c r="G297" t="n">
        <v>7</v>
      </c>
      <c r="H297" s="3" t="n">
        <v>33.15</v>
      </c>
      <c r="I297" s="4" t="n">
        <v>0.15</v>
      </c>
      <c r="J297" s="3" t="n">
        <v>22</v>
      </c>
      <c r="K297" s="3">
        <f>G297*H297</f>
        <v/>
      </c>
      <c r="L297" s="3">
        <f>G297*J297</f>
        <v/>
      </c>
      <c r="M297" s="3">
        <f>K297-L297</f>
        <v/>
      </c>
      <c r="N297" s="5">
        <f>IFERROR(M297/K297,0)</f>
        <v/>
      </c>
    </row>
    <row r="298">
      <c r="A298" t="inlineStr">
        <is>
          <t>ORD-0297</t>
        </is>
      </c>
      <c r="B298" s="2" t="n">
        <v>46018</v>
      </c>
      <c r="C298" t="inlineStr">
        <is>
          <t>East</t>
        </is>
      </c>
      <c r="D298" t="inlineStr">
        <is>
          <t>Corporate</t>
        </is>
      </c>
      <c r="E298" t="inlineStr">
        <is>
          <t>USB-C Hub</t>
        </is>
      </c>
      <c r="F298" t="inlineStr">
        <is>
          <t>Electronics</t>
        </is>
      </c>
      <c r="G298" t="n">
        <v>8</v>
      </c>
      <c r="H298" s="3" t="n">
        <v>49</v>
      </c>
      <c r="I298" s="4" t="n">
        <v>0</v>
      </c>
      <c r="J298" s="3" t="n">
        <v>28</v>
      </c>
      <c r="K298" s="3">
        <f>G298*H298</f>
        <v/>
      </c>
      <c r="L298" s="3">
        <f>G298*J298</f>
        <v/>
      </c>
      <c r="M298" s="3">
        <f>K298-L298</f>
        <v/>
      </c>
      <c r="N298" s="5">
        <f>IFERROR(M298/K298,0)</f>
        <v/>
      </c>
    </row>
    <row r="299">
      <c r="A299" t="inlineStr">
        <is>
          <t>ORD-0298</t>
        </is>
      </c>
      <c r="B299" s="2" t="n">
        <v>45760</v>
      </c>
      <c r="C299" t="inlineStr">
        <is>
          <t>North</t>
        </is>
      </c>
      <c r="D299" t="inlineStr">
        <is>
          <t>Retail</t>
        </is>
      </c>
      <c r="E299" t="inlineStr">
        <is>
          <t>Desk Lamp</t>
        </is>
      </c>
      <c r="F299" t="inlineStr">
        <is>
          <t>Office</t>
        </is>
      </c>
      <c r="G299" t="n">
        <v>2</v>
      </c>
      <c r="H299" s="3" t="n">
        <v>42</v>
      </c>
      <c r="I299" s="4" t="n">
        <v>0</v>
      </c>
      <c r="J299" s="3" t="n">
        <v>24</v>
      </c>
      <c r="K299" s="3">
        <f>G299*H299</f>
        <v/>
      </c>
      <c r="L299" s="3">
        <f>G299*J299</f>
        <v/>
      </c>
      <c r="M299" s="3">
        <f>K299-L299</f>
        <v/>
      </c>
      <c r="N299" s="5">
        <f>IFERROR(M299/K299,0)</f>
        <v/>
      </c>
    </row>
    <row r="300">
      <c r="A300" t="inlineStr">
        <is>
          <t>ORD-0299</t>
        </is>
      </c>
      <c r="B300" s="2" t="n">
        <v>45885</v>
      </c>
      <c r="C300" t="inlineStr">
        <is>
          <t>East</t>
        </is>
      </c>
      <c r="D300" t="inlineStr">
        <is>
          <t>Corporate</t>
        </is>
      </c>
      <c r="E300" t="inlineStr">
        <is>
          <t>Keyboard</t>
        </is>
      </c>
      <c r="F300" t="inlineStr">
        <is>
          <t>Accessories</t>
        </is>
      </c>
      <c r="G300" t="n">
        <v>2</v>
      </c>
      <c r="H300" s="3" t="n">
        <v>37.05</v>
      </c>
      <c r="I300" s="4" t="n">
        <v>0.05</v>
      </c>
      <c r="J300" s="3" t="n">
        <v>22</v>
      </c>
      <c r="K300" s="3">
        <f>G300*H300</f>
        <v/>
      </c>
      <c r="L300" s="3">
        <f>G300*J300</f>
        <v/>
      </c>
      <c r="M300" s="3">
        <f>K300-L300</f>
        <v/>
      </c>
      <c r="N300" s="5">
        <f>IFERROR(M300/K300,0)</f>
        <v/>
      </c>
    </row>
    <row r="301">
      <c r="A301" t="inlineStr">
        <is>
          <t>ORD-0300</t>
        </is>
      </c>
      <c r="B301" s="2" t="n">
        <v>45939</v>
      </c>
      <c r="C301" t="inlineStr">
        <is>
          <t>South</t>
        </is>
      </c>
      <c r="D301" t="inlineStr">
        <is>
          <t>Corporate</t>
        </is>
      </c>
      <c r="E301" t="inlineStr">
        <is>
          <t>Wireless Mouse</t>
        </is>
      </c>
      <c r="F301" t="inlineStr">
        <is>
          <t>Accessories</t>
        </is>
      </c>
      <c r="G301" t="n">
        <v>5</v>
      </c>
      <c r="H301" s="3" t="n">
        <v>23.75</v>
      </c>
      <c r="I301" s="4" t="n">
        <v>0.05</v>
      </c>
      <c r="J301" s="3" t="n">
        <v>14</v>
      </c>
      <c r="K301" s="3">
        <f>G301*H301</f>
        <v/>
      </c>
      <c r="L301" s="3">
        <f>G301*J301</f>
        <v/>
      </c>
      <c r="M301" s="3">
        <f>K301-L301</f>
        <v/>
      </c>
      <c r="N301" s="5">
        <f>IFERROR(M301/K301,0)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4" customWidth="1" min="3" max="3"/>
    <col width="20" customWidth="1" min="4" max="4"/>
    <col width="20" customWidth="1" min="5" max="5"/>
    <col width="4" customWidth="1" min="6" max="6"/>
  </cols>
  <sheetData>
    <row r="1">
      <c r="A1" s="6" t="inlineStr">
        <is>
          <t>2025 SALES PERFORMANCE | PORTFOLIO PROJECT</t>
        </is>
      </c>
    </row>
    <row r="3">
      <c r="A3" s="7" t="inlineStr">
        <is>
          <t>Key Performance Indicators</t>
        </is>
      </c>
    </row>
    <row r="4">
      <c r="A4" s="8" t="inlineStr">
        <is>
          <t>Total Revenue</t>
        </is>
      </c>
      <c r="B4" s="9">
        <f>SUM(Sales_Data!K2:K301)</f>
        <v/>
      </c>
    </row>
    <row r="5">
      <c r="A5" s="8" t="inlineStr">
        <is>
          <t>Total Profit</t>
        </is>
      </c>
      <c r="B5" s="9">
        <f>SUM(Sales_Data!M2:M301)</f>
        <v/>
      </c>
    </row>
    <row r="6">
      <c r="A6" s="8" t="inlineStr">
        <is>
          <t>Orders</t>
        </is>
      </c>
      <c r="B6" s="10">
        <f>COUNTA(Sales_Data!A2:A301)</f>
        <v/>
      </c>
    </row>
    <row r="7">
      <c r="A7" s="8" t="inlineStr">
        <is>
          <t>Average Order Revenue</t>
        </is>
      </c>
      <c r="B7" s="9">
        <f>AVERAGE(Sales_Data!K2:K301)</f>
        <v/>
      </c>
    </row>
    <row r="8">
      <c r="A8" s="8" t="inlineStr">
        <is>
          <t>Overall Profit Margin</t>
        </is>
      </c>
      <c r="B8" s="11">
        <f>IFERROR(SUM(Sales_Data!M2:M301)/SUM(Sales_Data!K2:K301),0)</f>
        <v/>
      </c>
    </row>
    <row r="11">
      <c r="A11" s="7" t="inlineStr">
        <is>
          <t>Revenue by Region</t>
        </is>
      </c>
      <c r="D11" s="7" t="inlineStr">
        <is>
          <t>Revenue by Category</t>
        </is>
      </c>
    </row>
    <row r="12">
      <c r="A12" s="12" t="inlineStr">
        <is>
          <t>Region</t>
        </is>
      </c>
      <c r="B12" s="12" t="inlineStr">
        <is>
          <t>Revenue</t>
        </is>
      </c>
      <c r="D12" s="12" t="inlineStr">
        <is>
          <t>Category</t>
        </is>
      </c>
      <c r="E12" s="12" t="inlineStr">
        <is>
          <t>Revenue</t>
        </is>
      </c>
    </row>
    <row r="13">
      <c r="A13" t="inlineStr">
        <is>
          <t>North</t>
        </is>
      </c>
      <c r="B13" s="3">
        <f>SUMIF(Sales_Data!C$2:C$301,A13,Sales_Data!K$2:K$301)</f>
        <v/>
      </c>
      <c r="D13" t="inlineStr">
        <is>
          <t>Accessories</t>
        </is>
      </c>
      <c r="E13" s="3">
        <f>SUMIF(Sales_Data!F$2:F$301,D13,Sales_Data!K$2:K$301)</f>
        <v/>
      </c>
    </row>
    <row r="14">
      <c r="A14" t="inlineStr">
        <is>
          <t>South</t>
        </is>
      </c>
      <c r="B14" s="3">
        <f>SUMIF(Sales_Data!C$2:C$301,A14,Sales_Data!K$2:K$301)</f>
        <v/>
      </c>
      <c r="D14" t="inlineStr">
        <is>
          <t>Electronics</t>
        </is>
      </c>
      <c r="E14" s="3">
        <f>SUMIF(Sales_Data!F$2:F$301,D14,Sales_Data!K$2:K$301)</f>
        <v/>
      </c>
    </row>
    <row r="15">
      <c r="A15" t="inlineStr">
        <is>
          <t>East</t>
        </is>
      </c>
      <c r="B15" s="3">
        <f>SUMIF(Sales_Data!C$2:C$301,A15,Sales_Data!K$2:K$301)</f>
        <v/>
      </c>
      <c r="D15" t="inlineStr">
        <is>
          <t>Office</t>
        </is>
      </c>
      <c r="E15" s="3">
        <f>SUMIF(Sales_Data!F$2:F$301,D15,Sales_Data!K$2:K$301)</f>
        <v/>
      </c>
    </row>
    <row r="16">
      <c r="A16" t="inlineStr">
        <is>
          <t>West</t>
        </is>
      </c>
      <c r="B16" s="3">
        <f>SUMIF(Sales_Data!C$2:C$301,A16,Sales_Data!K$2:K$301)</f>
        <v/>
      </c>
      <c r="D16" t="inlineStr">
        <is>
          <t>Stationery</t>
        </is>
      </c>
      <c r="E16" s="3">
        <f>SUMIF(Sales_Data!F$2:F$301,D16,Sales_Data!K$2:K$301)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2026-10-17T21:49:47Z</dcterms:created>
  <dcterms:modified xmlns:dcterms="http://purl.org/dc/terms/" xmlns:xsi="http://www.w3.org/2001/XMLSchema-instance" xsi:type="dcterms:W3CDTF">2026-10-17T21:49:47Z</dcterms:modified>
</cp:coreProperties>
</file>